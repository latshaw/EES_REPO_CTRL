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esamen\Documents\GitProjects\EES_REPO_CTRL\LLRF3_HTR\"/>
    </mc:Choice>
  </mc:AlternateContent>
  <xr:revisionPtr revIDLastSave="0" documentId="13_ncr:1_{0F36FED4-B6CC-47E5-97E7-0266A2E7138F}" xr6:coauthVersionLast="47" xr6:coauthVersionMax="47" xr10:uidLastSave="{00000000-0000-0000-0000-000000000000}"/>
  <bookViews>
    <workbookView xWindow="5355" yWindow="5595" windowWidth="28695" windowHeight="15240" xr2:uid="{00000000-000D-0000-FFFF-FFFF00000000}"/>
  </bookViews>
  <sheets>
    <sheet name="Table" sheetId="2" r:id="rId1"/>
    <sheet name="Software" sheetId="4" r:id="rId2"/>
    <sheet name="VHDL_HRT" sheetId="6" r:id="rId3"/>
    <sheet name="Register_Detai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F3" i="2" l="1"/>
  <c r="A1" i="4" s="1"/>
  <c r="E4" i="2"/>
  <c r="G3" i="2"/>
  <c r="F4" i="2" l="1"/>
  <c r="A2" i="4" s="1"/>
  <c r="G4" i="2"/>
  <c r="D4" i="2"/>
  <c r="E5" i="2"/>
  <c r="A2" i="6" l="1"/>
  <c r="A110" i="6"/>
  <c r="E6" i="2"/>
  <c r="F5" i="2"/>
  <c r="A3" i="4" s="1"/>
  <c r="G5" i="2"/>
  <c r="D5" i="2"/>
  <c r="A3" i="6" l="1"/>
  <c r="A111" i="6"/>
  <c r="F6" i="2"/>
  <c r="A4" i="4" s="1"/>
  <c r="G6" i="2"/>
  <c r="E7" i="2"/>
  <c r="D6" i="2"/>
  <c r="A4" i="6" l="1"/>
  <c r="A112" i="6"/>
  <c r="D7" i="2"/>
  <c r="E8" i="2"/>
  <c r="F7" i="2"/>
  <c r="A5" i="4" s="1"/>
  <c r="G7" i="2"/>
  <c r="A5" i="6" l="1"/>
  <c r="A113" i="6"/>
  <c r="E9" i="2"/>
  <c r="D8" i="2"/>
  <c r="F8" i="2"/>
  <c r="A6" i="4" s="1"/>
  <c r="G8" i="2"/>
  <c r="A6" i="6" l="1"/>
  <c r="A114" i="6"/>
  <c r="D9" i="2"/>
  <c r="F9" i="2"/>
  <c r="A7" i="4" s="1"/>
  <c r="E10" i="2"/>
  <c r="G9" i="2"/>
  <c r="A7" i="6" l="1"/>
  <c r="A115" i="6"/>
  <c r="D10" i="2"/>
  <c r="F10" i="2"/>
  <c r="A8" i="4" s="1"/>
  <c r="E11" i="2"/>
  <c r="G10" i="2"/>
  <c r="A8" i="6" l="1"/>
  <c r="A116" i="6"/>
  <c r="D11" i="2"/>
  <c r="E12" i="2"/>
  <c r="F11" i="2"/>
  <c r="A9" i="4" s="1"/>
  <c r="G11" i="2"/>
  <c r="A9" i="6" l="1"/>
  <c r="A117" i="6"/>
  <c r="E13" i="2"/>
  <c r="D12" i="2"/>
  <c r="F12" i="2"/>
  <c r="A10" i="4" s="1"/>
  <c r="G12" i="2"/>
  <c r="A10" i="6" l="1"/>
  <c r="A118" i="6"/>
  <c r="D13" i="2"/>
  <c r="E14" i="2"/>
  <c r="F13" i="2"/>
  <c r="A11" i="4" s="1"/>
  <c r="G13" i="2"/>
  <c r="A11" i="6" l="1"/>
  <c r="A119" i="6"/>
  <c r="D14" i="2"/>
  <c r="E15" i="2"/>
  <c r="F14" i="2"/>
  <c r="A12" i="4" s="1"/>
  <c r="G14" i="2"/>
  <c r="A12" i="6" l="1"/>
  <c r="A120" i="6"/>
  <c r="D15" i="2"/>
  <c r="F15" i="2"/>
  <c r="A13" i="4" s="1"/>
  <c r="E16" i="2"/>
  <c r="G15" i="2"/>
  <c r="A13" i="6" l="1"/>
  <c r="A121" i="6"/>
  <c r="E17" i="2"/>
  <c r="D16" i="2"/>
  <c r="F16" i="2"/>
  <c r="A14" i="4" s="1"/>
  <c r="G16" i="2"/>
  <c r="A14" i="6" l="1"/>
  <c r="A122" i="6"/>
  <c r="D17" i="2"/>
  <c r="E18" i="2"/>
  <c r="F17" i="2"/>
  <c r="A15" i="4" s="1"/>
  <c r="G17" i="2"/>
  <c r="A15" i="6" l="1"/>
  <c r="A123" i="6"/>
  <c r="D18" i="2"/>
  <c r="G18" i="2"/>
  <c r="E19" i="2"/>
  <c r="F18" i="2"/>
  <c r="A16" i="4" s="1"/>
  <c r="A16" i="6" l="1"/>
  <c r="A124" i="6"/>
  <c r="D19" i="2"/>
  <c r="E20" i="2"/>
  <c r="F19" i="2"/>
  <c r="A17" i="4" s="1"/>
  <c r="G19" i="2"/>
  <c r="A17" i="6" l="1"/>
  <c r="A125" i="6"/>
  <c r="E21" i="2"/>
  <c r="D20" i="2"/>
  <c r="F20" i="2"/>
  <c r="A18" i="4" s="1"/>
  <c r="G20" i="2"/>
  <c r="A18" i="6" l="1"/>
  <c r="A126" i="6"/>
  <c r="D21" i="2"/>
  <c r="E22" i="2"/>
  <c r="F21" i="2"/>
  <c r="A19" i="4" s="1"/>
  <c r="G21" i="2"/>
  <c r="A19" i="6" l="1"/>
  <c r="A127" i="6"/>
  <c r="D22" i="2"/>
  <c r="E23" i="2"/>
  <c r="F22" i="2"/>
  <c r="A20" i="4" s="1"/>
  <c r="G22" i="2"/>
  <c r="A20" i="6" l="1"/>
  <c r="A128" i="6"/>
  <c r="D23" i="2"/>
  <c r="E24" i="2"/>
  <c r="F23" i="2"/>
  <c r="A21" i="4" s="1"/>
  <c r="G23" i="2"/>
  <c r="A21" i="6" l="1"/>
  <c r="A129" i="6"/>
  <c r="E25" i="2"/>
  <c r="F24" i="2"/>
  <c r="A22" i="4" s="1"/>
  <c r="D24" i="2"/>
  <c r="G24" i="2"/>
  <c r="A22" i="6" l="1"/>
  <c r="A130" i="6"/>
  <c r="D25" i="2"/>
  <c r="E26" i="2"/>
  <c r="G25" i="2"/>
  <c r="F25" i="2"/>
  <c r="A23" i="4" s="1"/>
  <c r="A23" i="6" l="1"/>
  <c r="A131" i="6"/>
  <c r="D26" i="2"/>
  <c r="F26" i="2"/>
  <c r="A24" i="4" s="1"/>
  <c r="G26" i="2"/>
  <c r="E27" i="2"/>
  <c r="A24" i="6" l="1"/>
  <c r="A132" i="6"/>
  <c r="D27" i="2"/>
  <c r="E28" i="2"/>
  <c r="G27" i="2"/>
  <c r="F27" i="2"/>
  <c r="A25" i="4" s="1"/>
  <c r="A25" i="6" l="1"/>
  <c r="A133" i="6"/>
  <c r="E29" i="2"/>
  <c r="D28" i="2"/>
  <c r="F28" i="2"/>
  <c r="A26" i="4" s="1"/>
  <c r="G28" i="2"/>
  <c r="A26" i="6" l="1"/>
  <c r="A134" i="6"/>
  <c r="D29" i="2"/>
  <c r="F29" i="2"/>
  <c r="A27" i="4" s="1"/>
  <c r="E30" i="2"/>
  <c r="G29" i="2"/>
  <c r="A27" i="6" l="1"/>
  <c r="A135" i="6"/>
  <c r="D30" i="2"/>
  <c r="F30" i="2"/>
  <c r="A28" i="4" s="1"/>
  <c r="G30" i="2"/>
  <c r="E31" i="2"/>
  <c r="A28" i="6" l="1"/>
  <c r="A136" i="6"/>
  <c r="D31" i="2"/>
  <c r="E32" i="2"/>
  <c r="F31" i="2"/>
  <c r="A29" i="4" s="1"/>
  <c r="G31" i="2"/>
  <c r="A29" i="6" l="1"/>
  <c r="A137" i="6"/>
  <c r="E33" i="2"/>
  <c r="D32" i="2"/>
  <c r="F32" i="2"/>
  <c r="A30" i="4" s="1"/>
  <c r="G32" i="2"/>
  <c r="A30" i="6" l="1"/>
  <c r="A138" i="6"/>
  <c r="D33" i="2"/>
  <c r="F33" i="2"/>
  <c r="A31" i="4" s="1"/>
  <c r="E34" i="2"/>
  <c r="G33" i="2"/>
  <c r="A31" i="6" l="1"/>
  <c r="A139" i="6"/>
  <c r="D34" i="2"/>
  <c r="F34" i="2"/>
  <c r="A32" i="4" s="1"/>
  <c r="G34" i="2"/>
  <c r="E35" i="2"/>
  <c r="A32" i="6" l="1"/>
  <c r="A140" i="6"/>
  <c r="D35" i="2"/>
  <c r="E36" i="2"/>
  <c r="F35" i="2"/>
  <c r="A33" i="4" s="1"/>
  <c r="G35" i="2"/>
  <c r="A33" i="6" l="1"/>
  <c r="A141" i="6"/>
  <c r="E37" i="2"/>
  <c r="D36" i="2"/>
  <c r="F36" i="2"/>
  <c r="A34" i="4" s="1"/>
  <c r="G36" i="2"/>
  <c r="A34" i="6" l="1"/>
  <c r="A142" i="6"/>
  <c r="D37" i="2"/>
  <c r="G37" i="2"/>
  <c r="F37" i="2"/>
  <c r="A35" i="4" s="1"/>
  <c r="E38" i="2"/>
  <c r="A35" i="6" l="1"/>
  <c r="A143" i="6"/>
  <c r="D38" i="2"/>
  <c r="F38" i="2"/>
  <c r="A36" i="4" s="1"/>
  <c r="G38" i="2"/>
  <c r="E39" i="2"/>
  <c r="A36" i="6" l="1"/>
  <c r="A144" i="6"/>
  <c r="D39" i="2"/>
  <c r="E40" i="2"/>
  <c r="F39" i="2"/>
  <c r="A37" i="4" s="1"/>
  <c r="G39" i="2"/>
  <c r="A37" i="6" l="1"/>
  <c r="A145" i="6"/>
  <c r="E41" i="2"/>
  <c r="D40" i="2"/>
  <c r="F40" i="2"/>
  <c r="A38" i="4" s="1"/>
  <c r="G40" i="2"/>
  <c r="A38" i="6" l="1"/>
  <c r="A146" i="6"/>
  <c r="D41" i="2"/>
  <c r="F41" i="2"/>
  <c r="A39" i="4" s="1"/>
  <c r="E42" i="2"/>
  <c r="G41" i="2"/>
  <c r="A39" i="6" l="1"/>
  <c r="A147" i="6"/>
  <c r="D42" i="2"/>
  <c r="E43" i="2"/>
  <c r="F42" i="2"/>
  <c r="A40" i="4" s="1"/>
  <c r="G42" i="2"/>
  <c r="A40" i="6" l="1"/>
  <c r="A148" i="6"/>
  <c r="D43" i="2"/>
  <c r="E44" i="2"/>
  <c r="G43" i="2"/>
  <c r="F43" i="2"/>
  <c r="A41" i="4" s="1"/>
  <c r="A41" i="6" l="1"/>
  <c r="A149" i="6"/>
  <c r="E45" i="2"/>
  <c r="G44" i="2"/>
  <c r="D44" i="2"/>
  <c r="F44" i="2"/>
  <c r="A42" i="4" s="1"/>
  <c r="A42" i="6" l="1"/>
  <c r="A150" i="6"/>
  <c r="D45" i="2"/>
  <c r="E46" i="2"/>
  <c r="F45" i="2"/>
  <c r="A43" i="4" s="1"/>
  <c r="G45" i="2"/>
  <c r="A43" i="6" l="1"/>
  <c r="A151" i="6"/>
  <c r="D46" i="2"/>
  <c r="E47" i="2"/>
  <c r="G46" i="2"/>
  <c r="F46" i="2"/>
  <c r="A44" i="4" s="1"/>
  <c r="A44" i="6" l="1"/>
  <c r="A152" i="6"/>
  <c r="D47" i="2"/>
  <c r="E48" i="2"/>
  <c r="G47" i="2"/>
  <c r="F47" i="2"/>
  <c r="A45" i="4" s="1"/>
  <c r="A45" i="6" l="1"/>
  <c r="A153" i="6"/>
  <c r="E49" i="2"/>
  <c r="D48" i="2"/>
  <c r="F48" i="2"/>
  <c r="A46" i="4" s="1"/>
  <c r="G48" i="2"/>
  <c r="A46" i="6" l="1"/>
  <c r="A154" i="6"/>
  <c r="D49" i="2"/>
  <c r="F49" i="2"/>
  <c r="A47" i="4" s="1"/>
  <c r="E50" i="2"/>
  <c r="G49" i="2"/>
  <c r="A47" i="6" l="1"/>
  <c r="A155" i="6"/>
  <c r="D50" i="2"/>
  <c r="E51" i="2"/>
  <c r="F50" i="2"/>
  <c r="A48" i="4" s="1"/>
  <c r="G50" i="2"/>
  <c r="A48" i="6" l="1"/>
  <c r="A156" i="6"/>
  <c r="D51" i="2"/>
  <c r="E52" i="2"/>
  <c r="F51" i="2"/>
  <c r="A49" i="4" s="1"/>
  <c r="G51" i="2"/>
  <c r="A49" i="6" l="1"/>
  <c r="A157" i="6"/>
  <c r="E53" i="2"/>
  <c r="D52" i="2"/>
  <c r="F52" i="2"/>
  <c r="A50" i="4" s="1"/>
  <c r="G52" i="2"/>
  <c r="A50" i="6" l="1"/>
  <c r="A158" i="6"/>
  <c r="D53" i="2"/>
  <c r="G53" i="2"/>
  <c r="E54" i="2"/>
  <c r="F53" i="2"/>
  <c r="A51" i="4" s="1"/>
  <c r="A51" i="6" l="1"/>
  <c r="A159" i="6"/>
  <c r="D54" i="2"/>
  <c r="F54" i="2"/>
  <c r="A52" i="4" s="1"/>
  <c r="G54" i="2"/>
  <c r="E55" i="2"/>
  <c r="A52" i="6" l="1"/>
  <c r="A160" i="6"/>
  <c r="D55" i="2"/>
  <c r="F55" i="2"/>
  <c r="A53" i="4" s="1"/>
  <c r="E56" i="2"/>
  <c r="G55" i="2"/>
  <c r="A53" i="6" l="1"/>
  <c r="A161" i="6"/>
  <c r="E57" i="2"/>
  <c r="D56" i="2"/>
  <c r="F56" i="2"/>
  <c r="A54" i="4" s="1"/>
  <c r="G56" i="2"/>
  <c r="A54" i="6" l="1"/>
  <c r="A162" i="6"/>
  <c r="D57" i="2"/>
  <c r="F57" i="2"/>
  <c r="A55" i="4" s="1"/>
  <c r="E58" i="2"/>
  <c r="G57" i="2"/>
  <c r="A55" i="6" l="1"/>
  <c r="A163" i="6"/>
  <c r="D58" i="2"/>
  <c r="F58" i="2"/>
  <c r="A56" i="4" s="1"/>
  <c r="E59" i="2"/>
  <c r="G58" i="2"/>
  <c r="A56" i="6" l="1"/>
  <c r="A164" i="6"/>
  <c r="D59" i="2"/>
  <c r="F59" i="2"/>
  <c r="A57" i="4" s="1"/>
  <c r="E60" i="2"/>
  <c r="G59" i="2"/>
  <c r="A57" i="6" l="1"/>
  <c r="A165" i="6"/>
  <c r="E61" i="2"/>
  <c r="D60" i="2"/>
  <c r="F60" i="2"/>
  <c r="A58" i="4" s="1"/>
  <c r="G60" i="2"/>
  <c r="A58" i="6" l="1"/>
  <c r="A166" i="6"/>
  <c r="D61" i="2"/>
  <c r="F61" i="2"/>
  <c r="A59" i="4" s="1"/>
  <c r="E62" i="2"/>
  <c r="G61" i="2"/>
  <c r="A59" i="6" l="1"/>
  <c r="A167" i="6"/>
  <c r="D62" i="2"/>
  <c r="G62" i="2"/>
  <c r="F62" i="2"/>
  <c r="A60" i="4" s="1"/>
  <c r="E63" i="2"/>
  <c r="A60" i="6" l="1"/>
  <c r="A168" i="6"/>
  <c r="D63" i="2"/>
  <c r="G63" i="2"/>
  <c r="E64" i="2"/>
  <c r="F63" i="2"/>
  <c r="A61" i="4" s="1"/>
  <c r="A61" i="6" l="1"/>
  <c r="A169" i="6"/>
  <c r="E65" i="2"/>
  <c r="D64" i="2"/>
  <c r="F64" i="2"/>
  <c r="A62" i="4" s="1"/>
  <c r="G64" i="2"/>
  <c r="D3" i="2"/>
  <c r="A109" i="6" l="1"/>
  <c r="A1" i="6"/>
  <c r="A62" i="6"/>
  <c r="A170" i="6"/>
  <c r="D65" i="2"/>
  <c r="F65" i="2"/>
  <c r="A63" i="4" s="1"/>
  <c r="G65" i="2"/>
  <c r="E66" i="2"/>
  <c r="A63" i="6" l="1"/>
  <c r="A171" i="6"/>
  <c r="D66" i="2"/>
  <c r="F66" i="2"/>
  <c r="A64" i="4" s="1"/>
  <c r="E67" i="2"/>
  <c r="G66" i="2"/>
  <c r="A64" i="6" l="1"/>
  <c r="A172" i="6"/>
  <c r="D67" i="2"/>
  <c r="F67" i="2"/>
  <c r="A65" i="4" s="1"/>
  <c r="G67" i="2"/>
  <c r="E68" i="2"/>
  <c r="A65" i="6" l="1"/>
  <c r="A173" i="6"/>
  <c r="E69" i="2"/>
  <c r="G68" i="2"/>
  <c r="F68" i="2"/>
  <c r="A66" i="4" s="1"/>
  <c r="D68" i="2"/>
  <c r="A66" i="6" l="1"/>
  <c r="A174" i="6"/>
  <c r="F69" i="2"/>
  <c r="A67" i="4" s="1"/>
  <c r="G69" i="2"/>
  <c r="D69" i="2"/>
  <c r="E70" i="2"/>
  <c r="A67" i="6" l="1"/>
  <c r="A175" i="6"/>
  <c r="E71" i="2"/>
  <c r="D70" i="2"/>
  <c r="F70" i="2"/>
  <c r="A68" i="4" s="1"/>
  <c r="G70" i="2"/>
  <c r="A68" i="6" l="1"/>
  <c r="A176" i="6"/>
  <c r="D71" i="2"/>
  <c r="G71" i="2"/>
  <c r="F71" i="2"/>
  <c r="A69" i="4" s="1"/>
  <c r="E72" i="2"/>
  <c r="A69" i="6" l="1"/>
  <c r="A177" i="6"/>
  <c r="G72" i="2"/>
  <c r="D72" i="2"/>
  <c r="E73" i="2"/>
  <c r="F72" i="2"/>
  <c r="A70" i="4" s="1"/>
  <c r="A70" i="6" l="1"/>
  <c r="A178" i="6"/>
  <c r="D73" i="2"/>
  <c r="E74" i="2"/>
  <c r="F73" i="2"/>
  <c r="A71" i="4" s="1"/>
  <c r="G73" i="2"/>
  <c r="A71" i="6" l="1"/>
  <c r="A179" i="6"/>
  <c r="G74" i="2"/>
  <c r="D74" i="2"/>
  <c r="E75" i="2"/>
  <c r="F74" i="2"/>
  <c r="A72" i="4" s="1"/>
  <c r="A72" i="6" l="1"/>
  <c r="A180" i="6"/>
  <c r="E76" i="2"/>
  <c r="F75" i="2"/>
  <c r="A73" i="4" s="1"/>
  <c r="G75" i="2"/>
  <c r="D75" i="2"/>
  <c r="A73" i="6" l="1"/>
  <c r="A181" i="6"/>
  <c r="D76" i="2"/>
  <c r="F76" i="2"/>
  <c r="A74" i="4" s="1"/>
  <c r="G76" i="2"/>
  <c r="E77" i="2"/>
  <c r="A74" i="6" l="1"/>
  <c r="A182" i="6"/>
  <c r="E78" i="2"/>
  <c r="F77" i="2"/>
  <c r="A75" i="4" s="1"/>
  <c r="D77" i="2"/>
  <c r="G77" i="2"/>
  <c r="A75" i="6" l="1"/>
  <c r="A183" i="6"/>
  <c r="E79" i="2"/>
  <c r="D78" i="2"/>
  <c r="F78" i="2"/>
  <c r="A76" i="4" s="1"/>
  <c r="G78" i="2"/>
  <c r="A76" i="6" l="1"/>
  <c r="A184" i="6"/>
  <c r="G79" i="2"/>
  <c r="F79" i="2"/>
  <c r="A77" i="4" s="1"/>
  <c r="E80" i="2"/>
  <c r="D79" i="2"/>
  <c r="A77" i="6" l="1"/>
  <c r="A185" i="6"/>
  <c r="D80" i="2"/>
  <c r="E81" i="2"/>
  <c r="F80" i="2"/>
  <c r="A78" i="4" s="1"/>
  <c r="G80" i="2"/>
  <c r="A78" i="6" l="1"/>
  <c r="A186" i="6"/>
  <c r="F81" i="2"/>
  <c r="A79" i="4" s="1"/>
  <c r="G81" i="2"/>
  <c r="D81" i="2"/>
  <c r="E82" i="2"/>
  <c r="A79" i="6" l="1"/>
  <c r="A187" i="6"/>
  <c r="E83" i="2"/>
  <c r="D82" i="2"/>
  <c r="G82" i="2"/>
  <c r="F82" i="2"/>
  <c r="A80" i="4" s="1"/>
  <c r="A80" i="6" l="1"/>
  <c r="A188" i="6"/>
  <c r="G83" i="2"/>
  <c r="E84" i="2"/>
  <c r="D83" i="2"/>
  <c r="F83" i="2"/>
  <c r="A81" i="4" s="1"/>
  <c r="A81" i="6" l="1"/>
  <c r="A189" i="6"/>
  <c r="D84" i="2"/>
  <c r="F84" i="2"/>
  <c r="A82" i="4" s="1"/>
  <c r="G84" i="2"/>
  <c r="E85" i="2"/>
  <c r="A82" i="6" l="1"/>
  <c r="A190" i="6"/>
  <c r="G85" i="2"/>
  <c r="D85" i="2"/>
  <c r="F85" i="2"/>
  <c r="A83" i="4" s="1"/>
  <c r="E86" i="2"/>
  <c r="A83" i="6" l="1"/>
  <c r="A191" i="6"/>
  <c r="E87" i="2"/>
  <c r="D86" i="2"/>
  <c r="F86" i="2"/>
  <c r="A84" i="4" s="1"/>
  <c r="G86" i="2"/>
  <c r="A84" i="6" l="1"/>
  <c r="A192" i="6"/>
  <c r="F87" i="2"/>
  <c r="A85" i="4" s="1"/>
  <c r="E88" i="2"/>
  <c r="D87" i="2"/>
  <c r="G87" i="2"/>
  <c r="A85" i="6" l="1"/>
  <c r="A193" i="6"/>
  <c r="E89" i="2"/>
  <c r="D88" i="2"/>
  <c r="G88" i="2"/>
  <c r="F88" i="2"/>
  <c r="A86" i="4" s="1"/>
  <c r="A86" i="6" l="1"/>
  <c r="A194" i="6"/>
  <c r="G89" i="2"/>
  <c r="F89" i="2"/>
  <c r="A87" i="4" s="1"/>
  <c r="D89" i="2"/>
  <c r="E90" i="2"/>
  <c r="A87" i="6" l="1"/>
  <c r="A195" i="6"/>
  <c r="E91" i="2"/>
  <c r="D90" i="2"/>
  <c r="F90" i="2"/>
  <c r="A88" i="4" s="1"/>
  <c r="G90" i="2"/>
  <c r="A88" i="6" l="1"/>
  <c r="A196" i="6"/>
  <c r="F91" i="2"/>
  <c r="A89" i="4" s="1"/>
  <c r="E92" i="2"/>
  <c r="D91" i="2"/>
  <c r="G91" i="2"/>
  <c r="A89" i="6" l="1"/>
  <c r="A197" i="6"/>
  <c r="D92" i="2"/>
  <c r="F92" i="2"/>
  <c r="A90" i="4" s="1"/>
  <c r="G92" i="2"/>
  <c r="E93" i="2"/>
  <c r="A90" i="6" l="1"/>
  <c r="A198" i="6"/>
  <c r="D93" i="2"/>
  <c r="G93" i="2"/>
  <c r="F93" i="2"/>
  <c r="A91" i="4" s="1"/>
  <c r="E94" i="2"/>
  <c r="A91" i="6" l="1"/>
  <c r="A199" i="6"/>
  <c r="G94" i="2"/>
  <c r="F94" i="2"/>
  <c r="A92" i="4" s="1"/>
  <c r="D94" i="2"/>
  <c r="E95" i="2"/>
  <c r="A92" i="6" l="1"/>
  <c r="A200" i="6"/>
  <c r="E96" i="2"/>
  <c r="D95" i="2"/>
  <c r="F95" i="2"/>
  <c r="A93" i="4" s="1"/>
  <c r="G95" i="2"/>
  <c r="A93" i="6" l="1"/>
  <c r="A201" i="6"/>
  <c r="E97" i="2"/>
  <c r="G96" i="2"/>
  <c r="D96" i="2"/>
  <c r="F96" i="2"/>
  <c r="A94" i="4" s="1"/>
  <c r="A94" i="6" l="1"/>
  <c r="A202" i="6"/>
  <c r="E98" i="2"/>
  <c r="F97" i="2"/>
  <c r="A95" i="4" s="1"/>
  <c r="D97" i="2"/>
  <c r="G97" i="2"/>
  <c r="A95" i="6" l="1"/>
  <c r="A203" i="6"/>
  <c r="D98" i="2"/>
  <c r="E99" i="2"/>
  <c r="F98" i="2"/>
  <c r="A96" i="4" s="1"/>
  <c r="G98" i="2"/>
  <c r="A96" i="6" l="1"/>
  <c r="A204" i="6"/>
  <c r="G99" i="2"/>
  <c r="F99" i="2"/>
  <c r="A97" i="4" s="1"/>
  <c r="D99" i="2"/>
  <c r="E100" i="2"/>
  <c r="E101" i="2" s="1"/>
  <c r="A97" i="6" l="1"/>
  <c r="A205" i="6"/>
  <c r="D101" i="2"/>
  <c r="G101" i="2"/>
  <c r="E102" i="2"/>
  <c r="E103" i="2" s="1"/>
  <c r="F101" i="2"/>
  <c r="A99" i="4" s="1"/>
  <c r="F100" i="2"/>
  <c r="A98" i="4" s="1"/>
  <c r="G100" i="2"/>
  <c r="D100" i="2"/>
  <c r="A99" i="6" l="1"/>
  <c r="A207" i="6"/>
  <c r="A98" i="6"/>
  <c r="A206" i="6"/>
  <c r="D103" i="2"/>
  <c r="G103" i="2"/>
  <c r="F103" i="2"/>
  <c r="A101" i="4" s="1"/>
  <c r="E104" i="2"/>
  <c r="D102" i="2"/>
  <c r="G102" i="2"/>
  <c r="F102" i="2"/>
  <c r="A100" i="4" s="1"/>
  <c r="A100" i="6" l="1"/>
  <c r="A208" i="6"/>
  <c r="A101" i="6"/>
  <c r="A209" i="6"/>
  <c r="F104" i="2"/>
  <c r="A102" i="4" s="1"/>
  <c r="E105" i="2"/>
  <c r="E106" i="2" s="1"/>
  <c r="G104" i="2"/>
  <c r="D104" i="2"/>
  <c r="A102" i="6" l="1"/>
  <c r="A210" i="6"/>
  <c r="G106" i="2"/>
  <c r="E107" i="2"/>
  <c r="D106" i="2"/>
  <c r="F106" i="2"/>
  <c r="A104" i="4" s="1"/>
  <c r="F105" i="2"/>
  <c r="A103" i="4" s="1"/>
  <c r="G105" i="2"/>
  <c r="D105" i="2"/>
  <c r="A103" i="6" l="1"/>
  <c r="A211" i="6"/>
  <c r="A104" i="6"/>
  <c r="A212" i="6"/>
  <c r="D107" i="2"/>
  <c r="F107" i="2"/>
  <c r="A105" i="4" s="1"/>
  <c r="G107" i="2"/>
  <c r="E108" i="2"/>
  <c r="A105" i="6" l="1"/>
  <c r="A213" i="6"/>
  <c r="G108" i="2"/>
  <c r="F108" i="2"/>
  <c r="A106" i="4" s="1"/>
  <c r="D108" i="2"/>
  <c r="A106" i="6" l="1"/>
  <c r="A214" i="6"/>
</calcChain>
</file>

<file path=xl/sharedStrings.xml><?xml version="1.0" encoding="utf-8"?>
<sst xmlns="http://schemas.openxmlformats.org/spreadsheetml/2006/main" count="1272" uniqueCount="445">
  <si>
    <t>Description</t>
  </si>
  <si>
    <t>Address</t>
  </si>
  <si>
    <t>Hex</t>
  </si>
  <si>
    <t>Dec</t>
  </si>
  <si>
    <t>Bin</t>
  </si>
  <si>
    <t>Reg</t>
  </si>
  <si>
    <t>Format</t>
  </si>
  <si>
    <t>R/W</t>
  </si>
  <si>
    <t>Num</t>
  </si>
  <si>
    <t>Scale</t>
  </si>
  <si>
    <t>U16</t>
  </si>
  <si>
    <t>CXX</t>
  </si>
  <si>
    <t>RW</t>
  </si>
  <si>
    <t>RO</t>
  </si>
  <si>
    <t>S16</t>
  </si>
  <si>
    <t>CSX</t>
  </si>
  <si>
    <t>Pump 1 Voltage Analog Readback</t>
  </si>
  <si>
    <t>Pump 2 Current Analog Readback</t>
  </si>
  <si>
    <t>Pump 2 Voltage Analog Readback</t>
  </si>
  <si>
    <t>Pump 3 Current Analog Readback</t>
  </si>
  <si>
    <t>Pump 3 Voltage Analog Readback</t>
  </si>
  <si>
    <t>Pump 4 Current Analog Readback</t>
  </si>
  <si>
    <t>Pump 4 Voltage Analog Readback</t>
  </si>
  <si>
    <t>Pump 5 Current Analog Readback</t>
  </si>
  <si>
    <t>Pump 5 Voltage Analog Readback</t>
  </si>
  <si>
    <t>Pump 6 Current Analog Readback</t>
  </si>
  <si>
    <t>Pump 6 Voltage Analog Readback</t>
  </si>
  <si>
    <t>Pump 7 Current Analog Readback</t>
  </si>
  <si>
    <t>Pump 7 Voltage Analog Readback</t>
  </si>
  <si>
    <t>Pump 8 Current Analog Readback</t>
  </si>
  <si>
    <t>Pump 8 Voltage Analog Readback</t>
  </si>
  <si>
    <t>Pressure Transducer Analog Readback</t>
  </si>
  <si>
    <t>Cold Cathode Gauge Analog Readback</t>
  </si>
  <si>
    <t>Pump HV On Status Digital Readback Present</t>
  </si>
  <si>
    <t>Pump HV On Status Digital Readback Latched</t>
  </si>
  <si>
    <t>Pump OK Status</t>
  </si>
  <si>
    <t>Pump HV Enable Digital Control</t>
  </si>
  <si>
    <t>Pump Too Low Present</t>
  </si>
  <si>
    <t>Pump Too Low Latched</t>
  </si>
  <si>
    <t>Pump 1 Current Analog Readback</t>
  </si>
  <si>
    <t xml:space="preserve"> Pump 1 Slow Trip Limit</t>
  </si>
  <si>
    <t>Pump 2 Slow Trip Limit</t>
  </si>
  <si>
    <t>Pump 3 Slow Trip Limit</t>
  </si>
  <si>
    <t>Pump 4 Slow Trip Limit</t>
  </si>
  <si>
    <t>Pump 5 Slow Trip Limit</t>
  </si>
  <si>
    <t>Pump 6 Slow Trip Limit</t>
  </si>
  <si>
    <t>Pump 7 Slow Trip Limit</t>
  </si>
  <si>
    <t>Pump 8 Slow Trip Limit</t>
  </si>
  <si>
    <t>Insulating Vacuum Trip Limit</t>
  </si>
  <si>
    <t>Pressure Transducer Trip Limit</t>
  </si>
  <si>
    <t>Pump Minimum Pressure Trip Limit</t>
  </si>
  <si>
    <t>Pump Slow Trip Fault Present</t>
  </si>
  <si>
    <t>Pump Slow Trip Fault Latched</t>
  </si>
  <si>
    <t>NUM</t>
  </si>
  <si>
    <t>Bit #</t>
  </si>
  <si>
    <t>Bit Description</t>
  </si>
  <si>
    <t>Notes</t>
  </si>
  <si>
    <t>0-15</t>
  </si>
  <si>
    <t>16-Bit Analog Readback</t>
  </si>
  <si>
    <t>From HW</t>
  </si>
  <si>
    <t>FW Setpoint</t>
  </si>
  <si>
    <t>HW Interlock</t>
  </si>
  <si>
    <t>Pump 1 HV On Present</t>
  </si>
  <si>
    <t>Pump 2 HV On Present</t>
  </si>
  <si>
    <t>Pump 3 HV On Present</t>
  </si>
  <si>
    <t>Pump 4 HV On Present</t>
  </si>
  <si>
    <t>Pump 5 HV On Present</t>
  </si>
  <si>
    <t>Pump 6 HV On Present</t>
  </si>
  <si>
    <t>Pump 7 HV On Present</t>
  </si>
  <si>
    <t>Pump 8 HV On Present</t>
  </si>
  <si>
    <t>Pump 1 HV On Latched</t>
  </si>
  <si>
    <t>Pump 2 HV On Latched</t>
  </si>
  <si>
    <t>Pump 3 HV On Latched</t>
  </si>
  <si>
    <t>Pump 4 HV On Latched</t>
  </si>
  <si>
    <t>Pump 5 HV On Latched</t>
  </si>
  <si>
    <t>Pump 6 HV On Latched</t>
  </si>
  <si>
    <t>Pump 7 HV On Latched</t>
  </si>
  <si>
    <t>Pump 8 HV On Latched</t>
  </si>
  <si>
    <t>Pump 1 Slow Trip Fault Present</t>
  </si>
  <si>
    <t>FW Interlock = analog &gt; setpoint</t>
  </si>
  <si>
    <t>Pump 2 Slow Trip Fault Present</t>
  </si>
  <si>
    <t>Pump 3 Slow Trip Fault Present</t>
  </si>
  <si>
    <t>Pump 4 Slow Trip Fault Present</t>
  </si>
  <si>
    <t>Pump 5 Slow Trip Fault Present</t>
  </si>
  <si>
    <t>Pump 6 Slow Trip Fault Present</t>
  </si>
  <si>
    <t>Pump 7 Slow Trip Fault Present</t>
  </si>
  <si>
    <t>Pump 8 Slow Trip Fault Present</t>
  </si>
  <si>
    <t>Pump 1 Slow Trip Fault Latched</t>
  </si>
  <si>
    <t>Pump 2 Slow Trip Fault Latched</t>
  </si>
  <si>
    <t>Pump 3 Slow Trip Fault Latched</t>
  </si>
  <si>
    <t>Pump 4 Slow Trip Fault Latched</t>
  </si>
  <si>
    <t>Pump 5 Slow Trip Fault Latched</t>
  </si>
  <si>
    <t>Pump 6 Slow Trip Fault Latched</t>
  </si>
  <si>
    <t>Pump 7 Slow Trip Fault Latched</t>
  </si>
  <si>
    <t>Pump 8 Slow Trip Fault Latched</t>
  </si>
  <si>
    <t>Pump 1 Too Low Present</t>
  </si>
  <si>
    <t>FW Interlock = analog &lt; setpoint</t>
  </si>
  <si>
    <t>Pump 2 Too Low Present</t>
  </si>
  <si>
    <t>Pump 3 Too Low Present</t>
  </si>
  <si>
    <t>Pump 4 Too Low Present</t>
  </si>
  <si>
    <t>Pump 5 Too Low Present</t>
  </si>
  <si>
    <t>Pump 6 Too Low Present</t>
  </si>
  <si>
    <t>Pump 7 Too Low Present</t>
  </si>
  <si>
    <t>Pump 8 Too Low Present</t>
  </si>
  <si>
    <t>Pump 1 Too Low Latched</t>
  </si>
  <si>
    <t>Pump 2 Too Low Latched</t>
  </si>
  <si>
    <t>Pump 3 Too Low Latched</t>
  </si>
  <si>
    <t>Pump 4 Too Low Latched</t>
  </si>
  <si>
    <t>Pump 5 Too Low Latched</t>
  </si>
  <si>
    <t>Pump 6 Too Low Latched</t>
  </si>
  <si>
    <t>Pump 7 Too Low Latched</t>
  </si>
  <si>
    <t>Pump 8 Too Low Latched</t>
  </si>
  <si>
    <t>Pump 1 OK</t>
  </si>
  <si>
    <t>Pump 2 OK</t>
  </si>
  <si>
    <t>Pump 3 OK</t>
  </si>
  <si>
    <t>Pump 4 OK</t>
  </si>
  <si>
    <t>Pump 5 OK</t>
  </si>
  <si>
    <t>Pump 6 OK</t>
  </si>
  <si>
    <t>Pump 7 OK</t>
  </si>
  <si>
    <t>Pump 8 OK</t>
  </si>
  <si>
    <t>Pump 1 HV Enable Digital Control</t>
  </si>
  <si>
    <t>Pump 2 HV Enable Digital Control</t>
  </si>
  <si>
    <t>Pump 3 HV Enable Digital Control</t>
  </si>
  <si>
    <t>Pump 4 HV Enable Digital Control</t>
  </si>
  <si>
    <t>Pump 5 HV Enable Digital Control</t>
  </si>
  <si>
    <t>Pump 6 HV Enable Digital Control</t>
  </si>
  <si>
    <t>Pump 7 HV Enable Digital Control</t>
  </si>
  <si>
    <t>Pump 8 HV Enable Digital Control</t>
  </si>
  <si>
    <t>HW Control Bit</t>
  </si>
  <si>
    <t>Firmware Version</t>
  </si>
  <si>
    <t>Suffix</t>
  </si>
  <si>
    <t>Prefix</t>
  </si>
  <si>
    <t>A</t>
  </si>
  <si>
    <t>C</t>
  </si>
  <si>
    <t>B</t>
  </si>
  <si>
    <t>MIN</t>
  </si>
  <si>
    <t>VA</t>
  </si>
  <si>
    <t>VB</t>
  </si>
  <si>
    <t>VC</t>
  </si>
  <si>
    <t>V1</t>
  </si>
  <si>
    <t>V2</t>
  </si>
  <si>
    <t>V3</t>
  </si>
  <si>
    <t>V4</t>
  </si>
  <si>
    <t>V5</t>
  </si>
  <si>
    <t>V6</t>
  </si>
  <si>
    <t>V7</t>
  </si>
  <si>
    <t>V8</t>
  </si>
  <si>
    <t>LIM1</t>
  </si>
  <si>
    <t>LIM2</t>
  </si>
  <si>
    <t>LIM3</t>
  </si>
  <si>
    <t>LIM4</t>
  </si>
  <si>
    <t>LIM5</t>
  </si>
  <si>
    <t>LIM6</t>
  </si>
  <si>
    <t>LIM7</t>
  </si>
  <si>
    <t>LIM8</t>
  </si>
  <si>
    <t>LIMA</t>
  </si>
  <si>
    <t>LIMB</t>
  </si>
  <si>
    <t>LIMC</t>
  </si>
  <si>
    <t>LIM</t>
  </si>
  <si>
    <t>ADC1</t>
  </si>
  <si>
    <t>ADC2</t>
  </si>
  <si>
    <t>ADC3</t>
  </si>
  <si>
    <t>ADC4</t>
  </si>
  <si>
    <t>HVP</t>
  </si>
  <si>
    <t>HVL</t>
  </si>
  <si>
    <t>SLWL</t>
  </si>
  <si>
    <t>SLWP</t>
  </si>
  <si>
    <t>FSTP</t>
  </si>
  <si>
    <t>FSTL</t>
  </si>
  <si>
    <t>LOWP</t>
  </si>
  <si>
    <t>LOWL</t>
  </si>
  <si>
    <t>OK</t>
  </si>
  <si>
    <t>HVEN</t>
  </si>
  <si>
    <t>STAT</t>
  </si>
  <si>
    <t>FVER</t>
  </si>
  <si>
    <t>FLTP</t>
  </si>
  <si>
    <t>FLTL</t>
  </si>
  <si>
    <t>CTRL</t>
  </si>
  <si>
    <t>Vacuum Fault Present</t>
  </si>
  <si>
    <t>Vacuum Fault Latched</t>
  </si>
  <si>
    <t>Valve Status</t>
  </si>
  <si>
    <t>Vacuum Status</t>
  </si>
  <si>
    <t>Vacuum Control</t>
  </si>
  <si>
    <t>HRTV</t>
  </si>
  <si>
    <t>HRT Version</t>
  </si>
  <si>
    <t>1CAL</t>
  </si>
  <si>
    <t>2CAL</t>
  </si>
  <si>
    <t>3CAL</t>
  </si>
  <si>
    <t>4CAL</t>
  </si>
  <si>
    <t>5CAL</t>
  </si>
  <si>
    <t>6CAL</t>
  </si>
  <si>
    <t>7CAL</t>
  </si>
  <si>
    <t>8CAL</t>
  </si>
  <si>
    <t>ACAL</t>
  </si>
  <si>
    <t>BCAL</t>
  </si>
  <si>
    <t>CCAL</t>
  </si>
  <si>
    <t>V1CAL</t>
  </si>
  <si>
    <t>V2CAL</t>
  </si>
  <si>
    <t>V3CAL</t>
  </si>
  <si>
    <t>V4CAL</t>
  </si>
  <si>
    <t>V5CAL</t>
  </si>
  <si>
    <t>V6CAL</t>
  </si>
  <si>
    <t>V7CAL</t>
  </si>
  <si>
    <t>V8CAL</t>
  </si>
  <si>
    <t>VACAL</t>
  </si>
  <si>
    <t>VBCAL</t>
  </si>
  <si>
    <t>VCCAL</t>
  </si>
  <si>
    <t>CAL</t>
  </si>
  <si>
    <t>ADC1CAL</t>
  </si>
  <si>
    <t>ADC2CAL</t>
  </si>
  <si>
    <t>ADC3CAL</t>
  </si>
  <si>
    <t>ADC4CAL</t>
  </si>
  <si>
    <t>Pump A Slow Trip Limit</t>
  </si>
  <si>
    <t>Pump B Slow Trip Limit</t>
  </si>
  <si>
    <t>Pump C Slow Trip Limit</t>
  </si>
  <si>
    <t>Convectron A Trip Limit</t>
  </si>
  <si>
    <t>Convectron B Trip Limit</t>
  </si>
  <si>
    <t>Convectron C Trip Limit</t>
  </si>
  <si>
    <t>SEL</t>
  </si>
  <si>
    <t>MASK1</t>
  </si>
  <si>
    <t>MASK2</t>
  </si>
  <si>
    <t>MASK3</t>
  </si>
  <si>
    <t>Mask Register 1</t>
  </si>
  <si>
    <t>Mask Register 2</t>
  </si>
  <si>
    <t>PMAX</t>
  </si>
  <si>
    <t>VMIN</t>
  </si>
  <si>
    <t>PFLT</t>
  </si>
  <si>
    <t>Max Allowed Pump Pressure</t>
  </si>
  <si>
    <t>Min Allowed Pump Voltage</t>
  </si>
  <si>
    <t>Ion Pump Overload Fault</t>
  </si>
  <si>
    <t>REG NUM</t>
  </si>
  <si>
    <t>VIP</t>
  </si>
  <si>
    <t>Pump A Current Analog Readback</t>
  </si>
  <si>
    <t>Pump B Current Analog Readback</t>
  </si>
  <si>
    <t>Pump C Current Analog Readback</t>
  </si>
  <si>
    <t>Pump A Voltage Analog Readback</t>
  </si>
  <si>
    <t>Pump B Voltage Analog Readback</t>
  </si>
  <si>
    <t>Pump C Voltage Analog Readback</t>
  </si>
  <si>
    <t>VPG</t>
  </si>
  <si>
    <t>Convectron A Analog Readback</t>
  </si>
  <si>
    <t>Convectron B Analog Readback</t>
  </si>
  <si>
    <t>Convectron C Analog Readback</t>
  </si>
  <si>
    <t>VCG</t>
  </si>
  <si>
    <t>VQG</t>
  </si>
  <si>
    <t>Quattro Gauge Analog Readback</t>
  </si>
  <si>
    <t>VPI</t>
  </si>
  <si>
    <t>VAC</t>
  </si>
  <si>
    <t>Spare ADC 1 Readback</t>
  </si>
  <si>
    <t>Spare ADC 2 Readback</t>
  </si>
  <si>
    <t>Spare ADC 3 Readback</t>
  </si>
  <si>
    <t>Spare ADC 4 Readback</t>
  </si>
  <si>
    <t>Signed 16-Bit Constant</t>
  </si>
  <si>
    <t>Pump A HV Enable Digital Control</t>
  </si>
  <si>
    <t>Pump B HV Enable Digital Control</t>
  </si>
  <si>
    <t>Pump C HV Enable Digital Control</t>
  </si>
  <si>
    <t>Pump A HV On Present</t>
  </si>
  <si>
    <t>Pump B HV On Present</t>
  </si>
  <si>
    <t>Pump C HV On Present</t>
  </si>
  <si>
    <t>Latched FW Interlock form above VIPHVP</t>
  </si>
  <si>
    <t>Pump A HV On Latched</t>
  </si>
  <si>
    <t>Pump B HV On Latched</t>
  </si>
  <si>
    <t>Pump C HV On Latched</t>
  </si>
  <si>
    <t>Pump Fast Trip Fault Present</t>
  </si>
  <si>
    <t>Pump 1 Fast Trip Present</t>
  </si>
  <si>
    <t>Pump 2 Fast Trip Present</t>
  </si>
  <si>
    <t>Pump 3 Fast Trip Present</t>
  </si>
  <si>
    <t>Pump 4 Fast Trip Present</t>
  </si>
  <si>
    <t>Pump 5 Fast Trip Present</t>
  </si>
  <si>
    <t>Pump 6 Fast Trip Present</t>
  </si>
  <si>
    <t>Pump 7 Fast Trip Present</t>
  </si>
  <si>
    <t>Pump 8 Fast Trip Present</t>
  </si>
  <si>
    <t>Pump A Fast Trip Present</t>
  </si>
  <si>
    <t>Pump B Fast Trip Present</t>
  </si>
  <si>
    <t>Pump C Fast Trip Present</t>
  </si>
  <si>
    <t>Pump Fast Trip Fault Latched</t>
  </si>
  <si>
    <t>Pump 1 Fast Trip Latched</t>
  </si>
  <si>
    <t>Latched FW Interlock form VIPFSTP</t>
  </si>
  <si>
    <t>Pump 2 Fast Trip Latched</t>
  </si>
  <si>
    <t>Pump 3 Fast Trip Latched</t>
  </si>
  <si>
    <t>Pump 4 Fast Trip Latched</t>
  </si>
  <si>
    <t>Pump 5 Fast Trip Latched</t>
  </si>
  <si>
    <t>Pump 6 Fast Trip Latched</t>
  </si>
  <si>
    <t>Pump 7 Fast Trip Latched</t>
  </si>
  <si>
    <t>Pump 8 Fast Trip Latched</t>
  </si>
  <si>
    <t>Pump A Fast Trip Latched</t>
  </si>
  <si>
    <t>Pump A Slow Trip Fault Present</t>
  </si>
  <si>
    <t>Pump B Slow Trip Fault Present</t>
  </si>
  <si>
    <t>Pump C Slow Trip Fault Present</t>
  </si>
  <si>
    <t>Latched FW Interlock from VIPSLWP</t>
  </si>
  <si>
    <t>Pump A Slow Trip Fault Latched</t>
  </si>
  <si>
    <t>Pump B Slow Trip Fault Latched</t>
  </si>
  <si>
    <t>Pump C Slow Trip Fault Latched</t>
  </si>
  <si>
    <t>Pump A Too Low Present</t>
  </si>
  <si>
    <t>Pump B Too Low Present</t>
  </si>
  <si>
    <t>Pump C Too Low Present</t>
  </si>
  <si>
    <t>Latched FW Interlock from VIPLOWP</t>
  </si>
  <si>
    <t>Pump A Too Low Latched</t>
  </si>
  <si>
    <t>Pump B Too Low Latched</t>
  </si>
  <si>
    <t>Pump C Too Low Latched</t>
  </si>
  <si>
    <t>FW Interlock = HVOn &amp; !Fast Trip &amp; !Slow Trip</t>
  </si>
  <si>
    <t>Pump A OK</t>
  </si>
  <si>
    <t>Pump B OK</t>
  </si>
  <si>
    <t>Pump C OK</t>
  </si>
  <si>
    <t>Convectron A Fault</t>
  </si>
  <si>
    <t xml:space="preserve">Convectron B Fault </t>
  </si>
  <si>
    <t xml:space="preserve">Convectron C Fault </t>
  </si>
  <si>
    <t>Cold Cathode Gauge Fault</t>
  </si>
  <si>
    <t>Pressure Transducer Fault</t>
  </si>
  <si>
    <t xml:space="preserve">Air Handle Fault </t>
  </si>
  <si>
    <t>'1' = AH OK</t>
  </si>
  <si>
    <t xml:space="preserve">PSS Permit </t>
  </si>
  <si>
    <t>'1' = PSS OK</t>
  </si>
  <si>
    <t>FSD_TX Status</t>
  </si>
  <si>
    <t>'1' = FSD OK</t>
  </si>
  <si>
    <t>Power Supply Fail Bit</t>
  </si>
  <si>
    <t>'1' = Power Supply Failure</t>
  </si>
  <si>
    <t xml:space="preserve">Power Good Bit </t>
  </si>
  <si>
    <t>'1' = Power Good from Excelsys</t>
  </si>
  <si>
    <t>Latched interlock from VAC FLTP</t>
  </si>
  <si>
    <t>VBV</t>
  </si>
  <si>
    <t>Valve A Open</t>
  </si>
  <si>
    <t>'1' = Valve A Open</t>
  </si>
  <si>
    <t>Valve B Open</t>
  </si>
  <si>
    <t>'1' = Valve B Open</t>
  </si>
  <si>
    <t>Valve C Open</t>
  </si>
  <si>
    <t>'1' = Valve C Open</t>
  </si>
  <si>
    <t>Valve A Closed</t>
  </si>
  <si>
    <t>'1' = Valve A Closed</t>
  </si>
  <si>
    <t>Valve B Closed</t>
  </si>
  <si>
    <t>'1' = Valve B Closed</t>
  </si>
  <si>
    <t>Valve C Closed</t>
  </si>
  <si>
    <t>'1' = Valve C Closed</t>
  </si>
  <si>
    <t>Valve A Fault</t>
  </si>
  <si>
    <t>'1' = Valve A Faulted</t>
  </si>
  <si>
    <t>Valve B Fault</t>
  </si>
  <si>
    <t>'1' = Valve B Faulted</t>
  </si>
  <si>
    <t>Valve C Fault</t>
  </si>
  <si>
    <t>'1' = Valve C Faulted</t>
  </si>
  <si>
    <t>Valve A Open Request</t>
  </si>
  <si>
    <t>'1' = Valve A Open Request</t>
  </si>
  <si>
    <t>Valve B Open Request</t>
  </si>
  <si>
    <t>'1' = Valve B Open Request</t>
  </si>
  <si>
    <t>Valve C Open Request</t>
  </si>
  <si>
    <t>'1' = Valve C Open Request</t>
  </si>
  <si>
    <t>Valve A Closed Request</t>
  </si>
  <si>
    <t>'1' = Valve A Closed Request</t>
  </si>
  <si>
    <t>Valve B Closed Request</t>
  </si>
  <si>
    <t>'1' = Valve B Closed Request</t>
  </si>
  <si>
    <t>Valve C Closed Request</t>
  </si>
  <si>
    <t>'1' = Valve C Closed Request</t>
  </si>
  <si>
    <t>Zone 26 Status</t>
  </si>
  <si>
    <t>'1' = Zone 26 Jumper Installed</t>
  </si>
  <si>
    <t>Local/ Remote Status</t>
  </si>
  <si>
    <t>'1' = Chassis in Local Mode</t>
  </si>
  <si>
    <t>LED/ Heartbeat Status</t>
  </si>
  <si>
    <t>Heartbeat Status from FPGA</t>
  </si>
  <si>
    <t>RF Interlock Flag</t>
  </si>
  <si>
    <t>'1' = RF Permit Allowed (Valves)</t>
  </si>
  <si>
    <t>Valve A Control</t>
  </si>
  <si>
    <t>'1' = Open Command to Valve A</t>
  </si>
  <si>
    <t>Valve B Control</t>
  </si>
  <si>
    <t>'1' = Open Command to Valve B</t>
  </si>
  <si>
    <t>Valve C Control</t>
  </si>
  <si>
    <t>'1' = Open Command to Valve C</t>
  </si>
  <si>
    <t>SDO1</t>
  </si>
  <si>
    <t>SDO2</t>
  </si>
  <si>
    <t>SDO3</t>
  </si>
  <si>
    <t>SDO4</t>
  </si>
  <si>
    <t>Unsigned 16-Bit Constant</t>
  </si>
  <si>
    <t>16-Bit Word Firmware Version</t>
  </si>
  <si>
    <t>16-Bit Word HRT Version</t>
  </si>
  <si>
    <t>IP1 Cal Register</t>
  </si>
  <si>
    <t>IP2 Cal Register</t>
  </si>
  <si>
    <t>IP3 Cal Register</t>
  </si>
  <si>
    <t>IP4 Cal Register</t>
  </si>
  <si>
    <t>IP5 Cal Register</t>
  </si>
  <si>
    <t>IP6 Cal Register</t>
  </si>
  <si>
    <t>IP7 Cal Register</t>
  </si>
  <si>
    <t>IP8 Cal Register</t>
  </si>
  <si>
    <t>IPA Cal Register</t>
  </si>
  <si>
    <t>IPB Cal Register</t>
  </si>
  <si>
    <t>IPC Cal Register</t>
  </si>
  <si>
    <t>IP1 Voltage Cal Register</t>
  </si>
  <si>
    <t>IP2 Voltage Cal Register</t>
  </si>
  <si>
    <t>IP3 Voltage Cal Register</t>
  </si>
  <si>
    <t>IP4 Voltage Cal Register</t>
  </si>
  <si>
    <t>IP5 Voltage Cal Register</t>
  </si>
  <si>
    <t>IP6 Voltage Cal Register</t>
  </si>
  <si>
    <t>IP7 Voltage Cal Register</t>
  </si>
  <si>
    <t>IP8 Voltage Cal Register</t>
  </si>
  <si>
    <t>IPA Voltage Cal Register</t>
  </si>
  <si>
    <t>IPB Voltage Cal Register</t>
  </si>
  <si>
    <t>IPC Voltage Cal Register</t>
  </si>
  <si>
    <t>Convectron A Cal Register</t>
  </si>
  <si>
    <t>Convectron B Cal Register</t>
  </si>
  <si>
    <t>Convectron C Cal Register</t>
  </si>
  <si>
    <t>Cathode Gauge Cal Register</t>
  </si>
  <si>
    <t>Quattro Gauge Cal Register</t>
  </si>
  <si>
    <t>Pressure Transducer Cal Register</t>
  </si>
  <si>
    <t>Spare ADC 1 Cal Register</t>
  </si>
  <si>
    <t>Spare ADC 2 Cal Register</t>
  </si>
  <si>
    <t>Spare ADC 3 Cal Register</t>
  </si>
  <si>
    <t>Spare ADC 4 Cal Register</t>
  </si>
  <si>
    <t>Quattro 485 Pressure Readback</t>
  </si>
  <si>
    <t>16-Bit Signed Pressure from Quattro RS-485</t>
  </si>
  <si>
    <t>Quattro Gas Selection Register</t>
  </si>
  <si>
    <t xml:space="preserve">User Dropdown Menu </t>
  </si>
  <si>
    <t>Unsigned 16-Bit Word</t>
  </si>
  <si>
    <t>Pump 1 Overload Fault</t>
  </si>
  <si>
    <t>Pump 1 Pressure &gt; VACPMAX AND Voltage &lt; VMIN</t>
  </si>
  <si>
    <t>Pump 2 Overload Fault</t>
  </si>
  <si>
    <t>Pump 2 Pressure &gt; VACPMAX AND Voltage &lt; VMIN</t>
  </si>
  <si>
    <t>Pump 3 Overload Fault</t>
  </si>
  <si>
    <t>Pump 3 Pressure &gt; VACPMAX AND Voltage &lt; VMIN</t>
  </si>
  <si>
    <t>Pump 4 Overload Fault</t>
  </si>
  <si>
    <t>Pump 4 Pressure &gt; VACPMAX AND Voltage &lt; VMIN</t>
  </si>
  <si>
    <t>Pump 5 Overload Fault</t>
  </si>
  <si>
    <t>Pump 5 Pressure &gt; VACPMAX AND Voltage &lt; VMIN</t>
  </si>
  <si>
    <t>Pump 6 Overload Fault</t>
  </si>
  <si>
    <t>Pump 6 Pressure &gt; VACPMAX AND Voltage &lt; VMIN</t>
  </si>
  <si>
    <t>Pump 7 Overload Fault</t>
  </si>
  <si>
    <t>Pump 7 Pressure &gt; VACPMAX AND Voltage &lt; VMIN</t>
  </si>
  <si>
    <t>Pump 8 Overload Fault</t>
  </si>
  <si>
    <t>Pump 8 Pressure &gt; VACPMAX AND Voltage &lt; VMIN</t>
  </si>
  <si>
    <t>Pump A Overload Fault</t>
  </si>
  <si>
    <t>Pump B Overload Fault</t>
  </si>
  <si>
    <t>Pump C Overload Fault</t>
  </si>
  <si>
    <t xml:space="preserve">     x"FFFF" when others;</t>
  </si>
  <si>
    <t xml:space="preserve">     with shrt_addr select DOUT &lt;=</t>
  </si>
  <si>
    <t>HTR</t>
  </si>
  <si>
    <t>CNTLMD</t>
  </si>
  <si>
    <t>Auto Manual Mode Select</t>
  </si>
  <si>
    <t>Current Readback</t>
  </si>
  <si>
    <t>Voltage Readback</t>
  </si>
  <si>
    <t>IRB</t>
  </si>
  <si>
    <t>VRB</t>
  </si>
  <si>
    <t>Local Heat Setpoint</t>
  </si>
  <si>
    <t>LCLPWR</t>
  </si>
  <si>
    <t>HVER</t>
  </si>
  <si>
    <t>DAC</t>
  </si>
  <si>
    <t>DAC Setpoint</t>
  </si>
  <si>
    <t>RSTR</t>
  </si>
  <si>
    <t>Restore Status</t>
  </si>
  <si>
    <t>HB</t>
  </si>
  <si>
    <t xml:space="preserve">Heartbeat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</si>
</sst>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0" xfId="1" applyFont="1" applyAlignment="1">
      <alignment horizontal="right"/>
    </xf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0" xfId="1" applyAlignment="1">
      <alignment horizontal="left"/>
    </xf>
    <xf numFmtId="0" fontId="2" fillId="0" borderId="1" xfId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0" borderId="1" xfId="1" applyBorder="1" applyAlignment="1">
      <alignment horizontal="right"/>
    </xf>
    <xf numFmtId="0" fontId="2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8"/>
  <sheetViews>
    <sheetView tabSelected="1" zoomScaleNormal="100" workbookViewId="0">
      <selection activeCell="I12" sqref="I12"/>
    </sheetView>
  </sheetViews>
  <sheetFormatPr defaultRowHeight="15" x14ac:dyDescent="0.25"/>
  <cols>
    <col min="1" max="1" width="6.28515625" style="12" bestFit="1" customWidth="1"/>
    <col min="2" max="2" width="11.5703125" style="8" customWidth="1"/>
    <col min="3" max="3" width="5.28515625" style="1" bestFit="1" customWidth="1"/>
    <col min="4" max="5" width="4.28515625" style="1" bestFit="1" customWidth="1"/>
    <col min="6" max="6" width="5.7109375" style="1" customWidth="1"/>
    <col min="7" max="7" width="10" style="1" bestFit="1" customWidth="1"/>
    <col min="8" max="8" width="28.140625" style="8" bestFit="1" customWidth="1"/>
    <col min="9" max="9" width="6.28515625" style="1" bestFit="1" customWidth="1"/>
    <col min="10" max="10" width="7.28515625" style="1" bestFit="1" customWidth="1"/>
    <col min="11" max="11" width="5.5703125" style="1" bestFit="1" customWidth="1"/>
  </cols>
  <sheetData>
    <row r="1" spans="1:11" x14ac:dyDescent="0.25">
      <c r="A1" s="7"/>
      <c r="B1" s="4"/>
      <c r="C1" s="3"/>
      <c r="D1" s="3"/>
      <c r="E1" s="26" t="s">
        <v>1</v>
      </c>
      <c r="F1" s="26"/>
      <c r="G1" s="26"/>
      <c r="H1" s="4"/>
      <c r="I1" s="3"/>
      <c r="J1" s="3"/>
      <c r="K1" s="3"/>
    </row>
    <row r="2" spans="1:11" s="5" customFormat="1" x14ac:dyDescent="0.25">
      <c r="A2" s="13" t="s">
        <v>131</v>
      </c>
      <c r="B2" s="6" t="s">
        <v>130</v>
      </c>
      <c r="C2" s="2" t="s">
        <v>8</v>
      </c>
      <c r="D2" s="2" t="s">
        <v>5</v>
      </c>
      <c r="E2" s="2" t="s">
        <v>3</v>
      </c>
      <c r="F2" s="2" t="s">
        <v>2</v>
      </c>
      <c r="G2" s="2" t="s">
        <v>4</v>
      </c>
      <c r="H2" s="6" t="s">
        <v>0</v>
      </c>
      <c r="I2" s="2" t="s">
        <v>7</v>
      </c>
      <c r="J2" s="2" t="s">
        <v>6</v>
      </c>
      <c r="K2" s="2" t="s">
        <v>9</v>
      </c>
    </row>
    <row r="3" spans="1:11" x14ac:dyDescent="0.25">
      <c r="A3" s="7" t="s">
        <v>429</v>
      </c>
      <c r="B3" s="4" t="s">
        <v>430</v>
      </c>
      <c r="C3" s="3">
        <v>0</v>
      </c>
      <c r="D3" s="3">
        <f>E3/2</f>
        <v>0</v>
      </c>
      <c r="E3" s="3">
        <f>C3*2</f>
        <v>0</v>
      </c>
      <c r="F3" s="3" t="str">
        <f>DEC2HEX(E3,4)</f>
        <v>0000</v>
      </c>
      <c r="G3" s="3" t="str">
        <f>DEC2BIN(E3,9)</f>
        <v>000000000</v>
      </c>
      <c r="H3" s="4" t="s">
        <v>431</v>
      </c>
      <c r="I3" s="3" t="s">
        <v>12</v>
      </c>
      <c r="J3" s="3" t="s">
        <v>10</v>
      </c>
      <c r="K3" s="3" t="s">
        <v>15</v>
      </c>
    </row>
    <row r="4" spans="1:11" x14ac:dyDescent="0.25">
      <c r="A4" s="7" t="s">
        <v>429</v>
      </c>
      <c r="B4" s="4" t="s">
        <v>437</v>
      </c>
      <c r="C4" s="3">
        <f>C3+1</f>
        <v>1</v>
      </c>
      <c r="D4" s="3">
        <f t="shared" ref="D4:D67" si="0">E4/2</f>
        <v>1</v>
      </c>
      <c r="E4" s="3">
        <f>IF((OR(J3="U16",J3="S16")),E3+2,E3+4)</f>
        <v>2</v>
      </c>
      <c r="F4" s="3" t="str">
        <f t="shared" ref="F4:F67" si="1">DEC2HEX(E4,4)</f>
        <v>0002</v>
      </c>
      <c r="G4" s="3" t="str">
        <f t="shared" ref="G4:G67" si="2">DEC2BIN(E4,9)</f>
        <v>000000010</v>
      </c>
      <c r="H4" s="4" t="s">
        <v>436</v>
      </c>
      <c r="I4" s="3" t="s">
        <v>12</v>
      </c>
      <c r="J4" s="3" t="s">
        <v>10</v>
      </c>
      <c r="K4" s="3" t="s">
        <v>15</v>
      </c>
    </row>
    <row r="5" spans="1:11" x14ac:dyDescent="0.25">
      <c r="A5" s="7" t="s">
        <v>429</v>
      </c>
      <c r="B5" s="4" t="s">
        <v>434</v>
      </c>
      <c r="C5" s="3">
        <f t="shared" ref="C5:C98" si="3">C4+1</f>
        <v>2</v>
      </c>
      <c r="D5" s="3">
        <f t="shared" si="0"/>
        <v>2</v>
      </c>
      <c r="E5" s="3">
        <f t="shared" ref="E5:E66" si="4">IF((OR(J4="U16",J4="S16")),E4+2,E4+4)</f>
        <v>4</v>
      </c>
      <c r="F5" s="3" t="str">
        <f t="shared" si="1"/>
        <v>0004</v>
      </c>
      <c r="G5" s="3" t="str">
        <f t="shared" si="2"/>
        <v>000000100</v>
      </c>
      <c r="H5" s="4" t="s">
        <v>432</v>
      </c>
      <c r="I5" s="3" t="s">
        <v>13</v>
      </c>
      <c r="J5" s="3" t="s">
        <v>10</v>
      </c>
      <c r="K5" s="3" t="s">
        <v>15</v>
      </c>
    </row>
    <row r="6" spans="1:11" x14ac:dyDescent="0.25">
      <c r="A6" s="7" t="s">
        <v>429</v>
      </c>
      <c r="B6" s="4" t="s">
        <v>435</v>
      </c>
      <c r="C6" s="3">
        <f t="shared" si="3"/>
        <v>3</v>
      </c>
      <c r="D6" s="3">
        <f t="shared" si="0"/>
        <v>3</v>
      </c>
      <c r="E6" s="3">
        <f t="shared" si="4"/>
        <v>6</v>
      </c>
      <c r="F6" s="3" t="str">
        <f t="shared" si="1"/>
        <v>0006</v>
      </c>
      <c r="G6" s="3" t="str">
        <f t="shared" si="2"/>
        <v>000000110</v>
      </c>
      <c r="H6" s="4" t="s">
        <v>433</v>
      </c>
      <c r="I6" s="3" t="s">
        <v>13</v>
      </c>
      <c r="J6" s="3" t="s">
        <v>10</v>
      </c>
      <c r="K6" s="3" t="s">
        <v>15</v>
      </c>
    </row>
    <row r="7" spans="1:11" x14ac:dyDescent="0.25">
      <c r="A7" s="7" t="s">
        <v>429</v>
      </c>
      <c r="B7" s="4" t="s">
        <v>174</v>
      </c>
      <c r="C7" s="3">
        <f t="shared" si="3"/>
        <v>4</v>
      </c>
      <c r="D7" s="3">
        <f t="shared" si="0"/>
        <v>4</v>
      </c>
      <c r="E7" s="3">
        <f t="shared" si="4"/>
        <v>8</v>
      </c>
      <c r="F7" s="3" t="str">
        <f t="shared" si="1"/>
        <v>0008</v>
      </c>
      <c r="G7" s="3" t="str">
        <f t="shared" si="2"/>
        <v>000001000</v>
      </c>
      <c r="H7" s="4" t="s">
        <v>129</v>
      </c>
      <c r="I7" s="3" t="s">
        <v>13</v>
      </c>
      <c r="J7" s="3" t="s">
        <v>10</v>
      </c>
      <c r="K7" s="3" t="s">
        <v>15</v>
      </c>
    </row>
    <row r="8" spans="1:11" x14ac:dyDescent="0.25">
      <c r="A8" s="7" t="s">
        <v>429</v>
      </c>
      <c r="B8" s="4" t="s">
        <v>438</v>
      </c>
      <c r="C8" s="3">
        <f t="shared" si="3"/>
        <v>5</v>
      </c>
      <c r="D8" s="3">
        <f t="shared" si="0"/>
        <v>5</v>
      </c>
      <c r="E8" s="3">
        <f t="shared" si="4"/>
        <v>10</v>
      </c>
      <c r="F8" s="3" t="str">
        <f t="shared" si="1"/>
        <v>000A</v>
      </c>
      <c r="G8" s="3" t="str">
        <f t="shared" si="2"/>
        <v>000001010</v>
      </c>
      <c r="H8" s="4" t="s">
        <v>184</v>
      </c>
      <c r="I8" s="3" t="s">
        <v>13</v>
      </c>
      <c r="J8" s="3" t="s">
        <v>10</v>
      </c>
      <c r="K8" s="3" t="s">
        <v>15</v>
      </c>
    </row>
    <row r="9" spans="1:11" x14ac:dyDescent="0.25">
      <c r="A9" s="7" t="s">
        <v>429</v>
      </c>
      <c r="B9" s="4" t="s">
        <v>439</v>
      </c>
      <c r="C9" s="3">
        <f t="shared" si="3"/>
        <v>6</v>
      </c>
      <c r="D9" s="3">
        <f t="shared" si="0"/>
        <v>6</v>
      </c>
      <c r="E9" s="3">
        <f t="shared" si="4"/>
        <v>12</v>
      </c>
      <c r="F9" s="3" t="str">
        <f t="shared" si="1"/>
        <v>000C</v>
      </c>
      <c r="G9" s="3" t="str">
        <f t="shared" si="2"/>
        <v>000001100</v>
      </c>
      <c r="H9" s="4" t="s">
        <v>440</v>
      </c>
      <c r="I9" s="3" t="s">
        <v>12</v>
      </c>
      <c r="J9" s="3" t="s">
        <v>10</v>
      </c>
      <c r="K9" s="3" t="s">
        <v>15</v>
      </c>
    </row>
    <row r="10" spans="1:11" x14ac:dyDescent="0.25">
      <c r="A10" s="7" t="s">
        <v>429</v>
      </c>
      <c r="B10" s="4" t="s">
        <v>441</v>
      </c>
      <c r="C10" s="3">
        <f t="shared" si="3"/>
        <v>7</v>
      </c>
      <c r="D10" s="3">
        <f t="shared" si="0"/>
        <v>7</v>
      </c>
      <c r="E10" s="3">
        <f t="shared" si="4"/>
        <v>14</v>
      </c>
      <c r="F10" s="3" t="str">
        <f t="shared" si="1"/>
        <v>000E</v>
      </c>
      <c r="G10" s="3" t="str">
        <f t="shared" si="2"/>
        <v>000001110</v>
      </c>
      <c r="H10" s="4" t="s">
        <v>442</v>
      </c>
      <c r="I10" s="3" t="s">
        <v>12</v>
      </c>
      <c r="J10" s="3" t="s">
        <v>10</v>
      </c>
      <c r="K10" s="3" t="s">
        <v>15</v>
      </c>
    </row>
    <row r="11" spans="1:11" x14ac:dyDescent="0.25">
      <c r="A11" s="7" t="s">
        <v>429</v>
      </c>
      <c r="B11" s="4" t="s">
        <v>443</v>
      </c>
      <c r="C11" s="3">
        <f t="shared" si="3"/>
        <v>8</v>
      </c>
      <c r="D11" s="3">
        <f t="shared" si="0"/>
        <v>8</v>
      </c>
      <c r="E11" s="3">
        <f t="shared" si="4"/>
        <v>16</v>
      </c>
      <c r="F11" s="3" t="str">
        <f t="shared" si="1"/>
        <v>0010</v>
      </c>
      <c r="G11" s="3" t="str">
        <f t="shared" si="2"/>
        <v>000010000</v>
      </c>
      <c r="H11" s="4" t="s">
        <v>444</v>
      </c>
      <c r="I11" s="3" t="s">
        <v>13</v>
      </c>
      <c r="J11" s="3" t="s">
        <v>10</v>
      </c>
      <c r="K11" s="3" t="s">
        <v>15</v>
      </c>
    </row>
    <row r="12" spans="1:11" x14ac:dyDescent="0.25">
      <c r="A12" s="7"/>
      <c r="B12" s="4"/>
      <c r="C12" s="3">
        <f t="shared" si="3"/>
        <v>9</v>
      </c>
      <c r="D12" s="3">
        <f t="shared" si="0"/>
        <v>9</v>
      </c>
      <c r="E12" s="3">
        <f t="shared" si="4"/>
        <v>18</v>
      </c>
      <c r="F12" s="3" t="str">
        <f t="shared" si="1"/>
        <v>0012</v>
      </c>
      <c r="G12" s="3" t="str">
        <f t="shared" si="2"/>
        <v>000010010</v>
      </c>
      <c r="H12" s="4"/>
      <c r="I12" s="3" t="s">
        <v>13</v>
      </c>
      <c r="J12" s="3" t="s">
        <v>14</v>
      </c>
      <c r="K12" s="3" t="s">
        <v>15</v>
      </c>
    </row>
    <row r="13" spans="1:11" x14ac:dyDescent="0.25">
      <c r="A13" s="7"/>
      <c r="B13" s="4"/>
      <c r="C13" s="3">
        <f t="shared" si="3"/>
        <v>10</v>
      </c>
      <c r="D13" s="3">
        <f t="shared" si="0"/>
        <v>10</v>
      </c>
      <c r="E13" s="3">
        <f t="shared" si="4"/>
        <v>20</v>
      </c>
      <c r="F13" s="3" t="str">
        <f t="shared" si="1"/>
        <v>0014</v>
      </c>
      <c r="G13" s="3" t="str">
        <f t="shared" si="2"/>
        <v>000010100</v>
      </c>
      <c r="H13" s="4"/>
      <c r="I13" s="3" t="s">
        <v>13</v>
      </c>
      <c r="J13" s="3" t="s">
        <v>14</v>
      </c>
      <c r="K13" s="3" t="s">
        <v>15</v>
      </c>
    </row>
    <row r="14" spans="1:11" x14ac:dyDescent="0.25">
      <c r="A14" s="7"/>
      <c r="B14" s="4"/>
      <c r="C14" s="3">
        <f t="shared" si="3"/>
        <v>11</v>
      </c>
      <c r="D14" s="3">
        <f t="shared" si="0"/>
        <v>11</v>
      </c>
      <c r="E14" s="3">
        <f t="shared" si="4"/>
        <v>22</v>
      </c>
      <c r="F14" s="3" t="str">
        <f t="shared" si="1"/>
        <v>0016</v>
      </c>
      <c r="G14" s="3" t="str">
        <f t="shared" si="2"/>
        <v>000010110</v>
      </c>
      <c r="H14" s="4"/>
      <c r="I14" s="3" t="s">
        <v>13</v>
      </c>
      <c r="J14" s="3" t="s">
        <v>14</v>
      </c>
      <c r="K14" s="3" t="s">
        <v>15</v>
      </c>
    </row>
    <row r="15" spans="1:11" x14ac:dyDescent="0.25">
      <c r="A15" s="7"/>
      <c r="B15" s="4"/>
      <c r="C15" s="3">
        <f t="shared" si="3"/>
        <v>12</v>
      </c>
      <c r="D15" s="3">
        <f t="shared" si="0"/>
        <v>12</v>
      </c>
      <c r="E15" s="3">
        <f t="shared" si="4"/>
        <v>24</v>
      </c>
      <c r="F15" s="3" t="str">
        <f t="shared" si="1"/>
        <v>0018</v>
      </c>
      <c r="G15" s="3" t="str">
        <f t="shared" si="2"/>
        <v>000011000</v>
      </c>
      <c r="H15" s="4"/>
      <c r="I15" s="3" t="s">
        <v>13</v>
      </c>
      <c r="J15" s="3" t="s">
        <v>14</v>
      </c>
      <c r="K15" s="3" t="s">
        <v>15</v>
      </c>
    </row>
    <row r="16" spans="1:11" x14ac:dyDescent="0.25">
      <c r="A16" s="7"/>
      <c r="B16" s="4"/>
      <c r="C16" s="3">
        <f t="shared" si="3"/>
        <v>13</v>
      </c>
      <c r="D16" s="3">
        <f t="shared" si="0"/>
        <v>13</v>
      </c>
      <c r="E16" s="3">
        <f t="shared" si="4"/>
        <v>26</v>
      </c>
      <c r="F16" s="3" t="str">
        <f t="shared" si="1"/>
        <v>001A</v>
      </c>
      <c r="G16" s="3" t="str">
        <f t="shared" si="2"/>
        <v>000011010</v>
      </c>
      <c r="H16" s="4"/>
      <c r="I16" s="3" t="s">
        <v>13</v>
      </c>
      <c r="J16" s="3" t="s">
        <v>14</v>
      </c>
      <c r="K16" s="3" t="s">
        <v>15</v>
      </c>
    </row>
    <row r="17" spans="1:11" x14ac:dyDescent="0.25">
      <c r="A17" s="7"/>
      <c r="B17" s="4"/>
      <c r="C17" s="3">
        <f t="shared" si="3"/>
        <v>14</v>
      </c>
      <c r="D17" s="3">
        <f t="shared" si="0"/>
        <v>14</v>
      </c>
      <c r="E17" s="3">
        <f t="shared" si="4"/>
        <v>28</v>
      </c>
      <c r="F17" s="3" t="str">
        <f t="shared" si="1"/>
        <v>001C</v>
      </c>
      <c r="G17" s="3" t="str">
        <f t="shared" si="2"/>
        <v>000011100</v>
      </c>
      <c r="H17" s="4"/>
      <c r="I17" s="3" t="s">
        <v>13</v>
      </c>
      <c r="J17" s="3" t="s">
        <v>14</v>
      </c>
      <c r="K17" s="3" t="s">
        <v>15</v>
      </c>
    </row>
    <row r="18" spans="1:11" x14ac:dyDescent="0.25">
      <c r="A18" s="7"/>
      <c r="B18" s="4"/>
      <c r="C18" s="3">
        <f t="shared" si="3"/>
        <v>15</v>
      </c>
      <c r="D18" s="3">
        <f t="shared" si="0"/>
        <v>15</v>
      </c>
      <c r="E18" s="3">
        <f t="shared" si="4"/>
        <v>30</v>
      </c>
      <c r="F18" s="3" t="str">
        <f t="shared" si="1"/>
        <v>001E</v>
      </c>
      <c r="G18" s="3" t="str">
        <f t="shared" si="2"/>
        <v>000011110</v>
      </c>
      <c r="H18" s="4"/>
      <c r="I18" s="3" t="s">
        <v>13</v>
      </c>
      <c r="J18" s="3" t="s">
        <v>14</v>
      </c>
      <c r="K18" s="3" t="s">
        <v>15</v>
      </c>
    </row>
    <row r="19" spans="1:11" x14ac:dyDescent="0.25">
      <c r="A19" s="7"/>
      <c r="B19" s="4"/>
      <c r="C19" s="3">
        <f t="shared" si="3"/>
        <v>16</v>
      </c>
      <c r="D19" s="3">
        <f t="shared" si="0"/>
        <v>16</v>
      </c>
      <c r="E19" s="3">
        <f t="shared" si="4"/>
        <v>32</v>
      </c>
      <c r="F19" s="3" t="str">
        <f t="shared" si="1"/>
        <v>0020</v>
      </c>
      <c r="G19" s="3" t="str">
        <f t="shared" si="2"/>
        <v>000100000</v>
      </c>
      <c r="H19" s="4"/>
      <c r="I19" s="3" t="s">
        <v>13</v>
      </c>
      <c r="J19" s="3" t="s">
        <v>14</v>
      </c>
      <c r="K19" s="3" t="s">
        <v>15</v>
      </c>
    </row>
    <row r="20" spans="1:11" x14ac:dyDescent="0.25">
      <c r="A20" s="7"/>
      <c r="B20" s="4"/>
      <c r="C20" s="3">
        <f t="shared" si="3"/>
        <v>17</v>
      </c>
      <c r="D20" s="3">
        <f t="shared" si="0"/>
        <v>17</v>
      </c>
      <c r="E20" s="3">
        <f t="shared" si="4"/>
        <v>34</v>
      </c>
      <c r="F20" s="3" t="str">
        <f t="shared" si="1"/>
        <v>0022</v>
      </c>
      <c r="G20" s="3" t="str">
        <f t="shared" si="2"/>
        <v>000100010</v>
      </c>
      <c r="H20" s="4"/>
      <c r="I20" s="3" t="s">
        <v>13</v>
      </c>
      <c r="J20" s="3" t="s">
        <v>14</v>
      </c>
      <c r="K20" s="3" t="s">
        <v>15</v>
      </c>
    </row>
    <row r="21" spans="1:11" x14ac:dyDescent="0.25">
      <c r="A21" s="7"/>
      <c r="B21" s="4"/>
      <c r="C21" s="3">
        <f t="shared" si="3"/>
        <v>18</v>
      </c>
      <c r="D21" s="3">
        <f t="shared" si="0"/>
        <v>18</v>
      </c>
      <c r="E21" s="3">
        <f t="shared" si="4"/>
        <v>36</v>
      </c>
      <c r="F21" s="3" t="str">
        <f t="shared" si="1"/>
        <v>0024</v>
      </c>
      <c r="G21" s="3" t="str">
        <f t="shared" si="2"/>
        <v>000100100</v>
      </c>
      <c r="H21" s="4"/>
      <c r="I21" s="3" t="s">
        <v>13</v>
      </c>
      <c r="J21" s="3" t="s">
        <v>14</v>
      </c>
      <c r="K21" s="3" t="s">
        <v>15</v>
      </c>
    </row>
    <row r="22" spans="1:11" x14ac:dyDescent="0.25">
      <c r="A22" s="7"/>
      <c r="B22" s="4"/>
      <c r="C22" s="3">
        <f t="shared" si="3"/>
        <v>19</v>
      </c>
      <c r="D22" s="3">
        <f t="shared" si="0"/>
        <v>19</v>
      </c>
      <c r="E22" s="3">
        <f t="shared" si="4"/>
        <v>38</v>
      </c>
      <c r="F22" s="3" t="str">
        <f t="shared" si="1"/>
        <v>0026</v>
      </c>
      <c r="G22" s="3" t="str">
        <f t="shared" si="2"/>
        <v>000100110</v>
      </c>
      <c r="H22" s="4"/>
      <c r="I22" s="3" t="s">
        <v>13</v>
      </c>
      <c r="J22" s="3" t="s">
        <v>14</v>
      </c>
      <c r="K22" s="3" t="s">
        <v>15</v>
      </c>
    </row>
    <row r="23" spans="1:11" x14ac:dyDescent="0.25">
      <c r="A23" s="7"/>
      <c r="B23" s="4"/>
      <c r="C23" s="3">
        <f t="shared" si="3"/>
        <v>20</v>
      </c>
      <c r="D23" s="3">
        <f t="shared" si="0"/>
        <v>20</v>
      </c>
      <c r="E23" s="3">
        <f t="shared" si="4"/>
        <v>40</v>
      </c>
      <c r="F23" s="3" t="str">
        <f t="shared" si="1"/>
        <v>0028</v>
      </c>
      <c r="G23" s="3" t="str">
        <f t="shared" si="2"/>
        <v>000101000</v>
      </c>
      <c r="H23" s="4"/>
      <c r="I23" s="3" t="s">
        <v>13</v>
      </c>
      <c r="J23" s="3" t="s">
        <v>14</v>
      </c>
      <c r="K23" s="3" t="s">
        <v>15</v>
      </c>
    </row>
    <row r="24" spans="1:11" x14ac:dyDescent="0.25">
      <c r="A24" s="7"/>
      <c r="B24" s="4"/>
      <c r="C24" s="3">
        <f t="shared" si="3"/>
        <v>21</v>
      </c>
      <c r="D24" s="3">
        <f t="shared" si="0"/>
        <v>21</v>
      </c>
      <c r="E24" s="3">
        <f t="shared" si="4"/>
        <v>42</v>
      </c>
      <c r="F24" s="3" t="str">
        <f t="shared" si="1"/>
        <v>002A</v>
      </c>
      <c r="G24" s="3" t="str">
        <f t="shared" si="2"/>
        <v>000101010</v>
      </c>
      <c r="H24" s="4"/>
      <c r="I24" s="3" t="s">
        <v>13</v>
      </c>
      <c r="J24" s="3" t="s">
        <v>14</v>
      </c>
      <c r="K24" s="3" t="s">
        <v>15</v>
      </c>
    </row>
    <row r="25" spans="1:11" x14ac:dyDescent="0.25">
      <c r="A25" s="7"/>
      <c r="B25" s="4"/>
      <c r="C25" s="3">
        <f t="shared" si="3"/>
        <v>22</v>
      </c>
      <c r="D25" s="3">
        <f t="shared" si="0"/>
        <v>22</v>
      </c>
      <c r="E25" s="3">
        <f t="shared" si="4"/>
        <v>44</v>
      </c>
      <c r="F25" s="3" t="str">
        <f t="shared" si="1"/>
        <v>002C</v>
      </c>
      <c r="G25" s="3" t="str">
        <f t="shared" si="2"/>
        <v>000101100</v>
      </c>
      <c r="H25" s="4"/>
      <c r="I25" s="3" t="s">
        <v>13</v>
      </c>
      <c r="J25" s="3" t="s">
        <v>14</v>
      </c>
      <c r="K25" s="3" t="s">
        <v>15</v>
      </c>
    </row>
    <row r="26" spans="1:11" x14ac:dyDescent="0.25">
      <c r="A26" s="7"/>
      <c r="B26" s="4"/>
      <c r="C26" s="3">
        <f t="shared" si="3"/>
        <v>23</v>
      </c>
      <c r="D26" s="3">
        <f t="shared" si="0"/>
        <v>23</v>
      </c>
      <c r="E26" s="3">
        <f t="shared" si="4"/>
        <v>46</v>
      </c>
      <c r="F26" s="3" t="str">
        <f t="shared" si="1"/>
        <v>002E</v>
      </c>
      <c r="G26" s="3" t="str">
        <f t="shared" si="2"/>
        <v>000101110</v>
      </c>
      <c r="H26" s="4"/>
      <c r="I26" s="3" t="s">
        <v>13</v>
      </c>
      <c r="J26" s="3" t="s">
        <v>14</v>
      </c>
      <c r="K26" s="3" t="s">
        <v>15</v>
      </c>
    </row>
    <row r="27" spans="1:11" x14ac:dyDescent="0.25">
      <c r="A27" s="7"/>
      <c r="B27" s="4"/>
      <c r="C27" s="3">
        <f t="shared" si="3"/>
        <v>24</v>
      </c>
      <c r="D27" s="3">
        <f t="shared" si="0"/>
        <v>24</v>
      </c>
      <c r="E27" s="3">
        <f t="shared" si="4"/>
        <v>48</v>
      </c>
      <c r="F27" s="3" t="str">
        <f t="shared" si="1"/>
        <v>0030</v>
      </c>
      <c r="G27" s="3" t="str">
        <f t="shared" si="2"/>
        <v>000110000</v>
      </c>
      <c r="H27" s="4"/>
      <c r="I27" s="3" t="s">
        <v>13</v>
      </c>
      <c r="J27" s="3" t="s">
        <v>14</v>
      </c>
      <c r="K27" s="3" t="s">
        <v>15</v>
      </c>
    </row>
    <row r="28" spans="1:11" x14ac:dyDescent="0.25">
      <c r="A28" s="7"/>
      <c r="B28" s="4"/>
      <c r="C28" s="3">
        <f t="shared" si="3"/>
        <v>25</v>
      </c>
      <c r="D28" s="3">
        <f t="shared" si="0"/>
        <v>25</v>
      </c>
      <c r="E28" s="3">
        <f t="shared" si="4"/>
        <v>50</v>
      </c>
      <c r="F28" s="3" t="str">
        <f t="shared" si="1"/>
        <v>0032</v>
      </c>
      <c r="G28" s="3" t="str">
        <f t="shared" si="2"/>
        <v>000110010</v>
      </c>
      <c r="H28" s="4"/>
      <c r="I28" s="3" t="s">
        <v>13</v>
      </c>
      <c r="J28" s="3" t="s">
        <v>14</v>
      </c>
      <c r="K28" s="3" t="s">
        <v>15</v>
      </c>
    </row>
    <row r="29" spans="1:11" x14ac:dyDescent="0.25">
      <c r="A29" s="7"/>
      <c r="B29" s="4"/>
      <c r="C29" s="3">
        <f t="shared" si="3"/>
        <v>26</v>
      </c>
      <c r="D29" s="3">
        <f t="shared" si="0"/>
        <v>26</v>
      </c>
      <c r="E29" s="3">
        <f t="shared" si="4"/>
        <v>52</v>
      </c>
      <c r="F29" s="3" t="str">
        <f t="shared" si="1"/>
        <v>0034</v>
      </c>
      <c r="G29" s="3" t="str">
        <f t="shared" si="2"/>
        <v>000110100</v>
      </c>
      <c r="H29" s="4"/>
      <c r="I29" s="3" t="s">
        <v>13</v>
      </c>
      <c r="J29" s="3" t="s">
        <v>14</v>
      </c>
      <c r="K29" s="3" t="s">
        <v>15</v>
      </c>
    </row>
    <row r="30" spans="1:11" x14ac:dyDescent="0.25">
      <c r="A30" s="7"/>
      <c r="B30" s="4"/>
      <c r="C30" s="3">
        <f t="shared" si="3"/>
        <v>27</v>
      </c>
      <c r="D30" s="3">
        <f t="shared" si="0"/>
        <v>27</v>
      </c>
      <c r="E30" s="3">
        <f t="shared" si="4"/>
        <v>54</v>
      </c>
      <c r="F30" s="3" t="str">
        <f t="shared" si="1"/>
        <v>0036</v>
      </c>
      <c r="G30" s="3" t="str">
        <f t="shared" si="2"/>
        <v>000110110</v>
      </c>
      <c r="H30" s="4"/>
      <c r="I30" s="3" t="s">
        <v>13</v>
      </c>
      <c r="J30" s="3" t="s">
        <v>14</v>
      </c>
      <c r="K30" s="3" t="s">
        <v>15</v>
      </c>
    </row>
    <row r="31" spans="1:11" x14ac:dyDescent="0.25">
      <c r="A31" s="7"/>
      <c r="B31" s="4"/>
      <c r="C31" s="3">
        <f t="shared" si="3"/>
        <v>28</v>
      </c>
      <c r="D31" s="3">
        <f t="shared" si="0"/>
        <v>28</v>
      </c>
      <c r="E31" s="3">
        <f t="shared" si="4"/>
        <v>56</v>
      </c>
      <c r="F31" s="3" t="str">
        <f t="shared" si="1"/>
        <v>0038</v>
      </c>
      <c r="G31" s="3" t="str">
        <f t="shared" si="2"/>
        <v>000111000</v>
      </c>
      <c r="H31" s="4"/>
      <c r="I31" s="3" t="s">
        <v>13</v>
      </c>
      <c r="J31" s="3" t="s">
        <v>14</v>
      </c>
      <c r="K31" s="3" t="s">
        <v>15</v>
      </c>
    </row>
    <row r="32" spans="1:11" x14ac:dyDescent="0.25">
      <c r="A32" s="7"/>
      <c r="B32" s="4"/>
      <c r="C32" s="3">
        <f t="shared" si="3"/>
        <v>29</v>
      </c>
      <c r="D32" s="3">
        <f t="shared" si="0"/>
        <v>29</v>
      </c>
      <c r="E32" s="3">
        <f t="shared" si="4"/>
        <v>58</v>
      </c>
      <c r="F32" s="3" t="str">
        <f t="shared" si="1"/>
        <v>003A</v>
      </c>
      <c r="G32" s="3" t="str">
        <f t="shared" si="2"/>
        <v>000111010</v>
      </c>
      <c r="H32" s="4"/>
      <c r="I32" s="3" t="s">
        <v>13</v>
      </c>
      <c r="J32" s="3" t="s">
        <v>14</v>
      </c>
      <c r="K32" s="3" t="s">
        <v>15</v>
      </c>
    </row>
    <row r="33" spans="1:11" x14ac:dyDescent="0.25">
      <c r="A33" s="7"/>
      <c r="B33" s="4"/>
      <c r="C33" s="3">
        <f t="shared" si="3"/>
        <v>30</v>
      </c>
      <c r="D33" s="3">
        <f t="shared" si="0"/>
        <v>30</v>
      </c>
      <c r="E33" s="3">
        <f t="shared" si="4"/>
        <v>60</v>
      </c>
      <c r="F33" s="3" t="str">
        <f t="shared" si="1"/>
        <v>003C</v>
      </c>
      <c r="G33" s="3" t="str">
        <f t="shared" si="2"/>
        <v>000111100</v>
      </c>
      <c r="H33" s="4"/>
      <c r="I33" s="3" t="s">
        <v>13</v>
      </c>
      <c r="J33" s="3" t="s">
        <v>14</v>
      </c>
      <c r="K33" s="3" t="s">
        <v>15</v>
      </c>
    </row>
    <row r="34" spans="1:11" x14ac:dyDescent="0.25">
      <c r="A34" s="7"/>
      <c r="B34" s="4"/>
      <c r="C34" s="3">
        <f t="shared" si="3"/>
        <v>31</v>
      </c>
      <c r="D34" s="3">
        <f t="shared" si="0"/>
        <v>31</v>
      </c>
      <c r="E34" s="3">
        <f t="shared" si="4"/>
        <v>62</v>
      </c>
      <c r="F34" s="3" t="str">
        <f t="shared" si="1"/>
        <v>003E</v>
      </c>
      <c r="G34" s="3" t="str">
        <f t="shared" si="2"/>
        <v>000111110</v>
      </c>
      <c r="H34" s="4"/>
      <c r="I34" s="3" t="s">
        <v>13</v>
      </c>
      <c r="J34" s="3" t="s">
        <v>14</v>
      </c>
      <c r="K34" s="3" t="s">
        <v>15</v>
      </c>
    </row>
    <row r="35" spans="1:11" x14ac:dyDescent="0.25">
      <c r="A35" s="7"/>
      <c r="B35" s="4"/>
      <c r="C35" s="3">
        <f t="shared" si="3"/>
        <v>32</v>
      </c>
      <c r="D35" s="3">
        <f t="shared" si="0"/>
        <v>32</v>
      </c>
      <c r="E35" s="3">
        <f t="shared" si="4"/>
        <v>64</v>
      </c>
      <c r="F35" s="3" t="str">
        <f t="shared" si="1"/>
        <v>0040</v>
      </c>
      <c r="G35" s="3" t="str">
        <f t="shared" si="2"/>
        <v>001000000</v>
      </c>
      <c r="H35" s="4"/>
      <c r="I35" s="3" t="s">
        <v>12</v>
      </c>
      <c r="J35" s="3" t="s">
        <v>14</v>
      </c>
      <c r="K35" s="3" t="s">
        <v>15</v>
      </c>
    </row>
    <row r="36" spans="1:11" x14ac:dyDescent="0.25">
      <c r="A36" s="7"/>
      <c r="B36" s="4"/>
      <c r="C36" s="3">
        <f t="shared" si="3"/>
        <v>33</v>
      </c>
      <c r="D36" s="3">
        <f t="shared" si="0"/>
        <v>33</v>
      </c>
      <c r="E36" s="3">
        <f t="shared" si="4"/>
        <v>66</v>
      </c>
      <c r="F36" s="3" t="str">
        <f t="shared" si="1"/>
        <v>0042</v>
      </c>
      <c r="G36" s="3" t="str">
        <f t="shared" si="2"/>
        <v>001000010</v>
      </c>
      <c r="H36" s="4"/>
      <c r="I36" s="3" t="s">
        <v>12</v>
      </c>
      <c r="J36" s="3" t="s">
        <v>14</v>
      </c>
      <c r="K36" s="3" t="s">
        <v>15</v>
      </c>
    </row>
    <row r="37" spans="1:11" x14ac:dyDescent="0.25">
      <c r="A37" s="7"/>
      <c r="B37" s="4"/>
      <c r="C37" s="3">
        <f t="shared" si="3"/>
        <v>34</v>
      </c>
      <c r="D37" s="3">
        <f t="shared" si="0"/>
        <v>34</v>
      </c>
      <c r="E37" s="3">
        <f t="shared" si="4"/>
        <v>68</v>
      </c>
      <c r="F37" s="3" t="str">
        <f t="shared" si="1"/>
        <v>0044</v>
      </c>
      <c r="G37" s="3" t="str">
        <f t="shared" si="2"/>
        <v>001000100</v>
      </c>
      <c r="H37" s="4"/>
      <c r="I37" s="3" t="s">
        <v>12</v>
      </c>
      <c r="J37" s="3" t="s">
        <v>14</v>
      </c>
      <c r="K37" s="3" t="s">
        <v>15</v>
      </c>
    </row>
    <row r="38" spans="1:11" x14ac:dyDescent="0.25">
      <c r="A38" s="7"/>
      <c r="B38" s="4"/>
      <c r="C38" s="3">
        <f t="shared" si="3"/>
        <v>35</v>
      </c>
      <c r="D38" s="3">
        <f t="shared" si="0"/>
        <v>35</v>
      </c>
      <c r="E38" s="3">
        <f t="shared" si="4"/>
        <v>70</v>
      </c>
      <c r="F38" s="3" t="str">
        <f t="shared" si="1"/>
        <v>0046</v>
      </c>
      <c r="G38" s="3" t="str">
        <f t="shared" si="2"/>
        <v>001000110</v>
      </c>
      <c r="H38" s="4"/>
      <c r="I38" s="3" t="s">
        <v>12</v>
      </c>
      <c r="J38" s="3" t="s">
        <v>14</v>
      </c>
      <c r="K38" s="3" t="s">
        <v>15</v>
      </c>
    </row>
    <row r="39" spans="1:11" x14ac:dyDescent="0.25">
      <c r="A39" s="7"/>
      <c r="B39" s="4"/>
      <c r="C39" s="3">
        <f t="shared" si="3"/>
        <v>36</v>
      </c>
      <c r="D39" s="3">
        <f t="shared" si="0"/>
        <v>36</v>
      </c>
      <c r="E39" s="3">
        <f t="shared" si="4"/>
        <v>72</v>
      </c>
      <c r="F39" s="3" t="str">
        <f t="shared" si="1"/>
        <v>0048</v>
      </c>
      <c r="G39" s="3" t="str">
        <f t="shared" si="2"/>
        <v>001001000</v>
      </c>
      <c r="H39" s="4"/>
      <c r="I39" s="3" t="s">
        <v>12</v>
      </c>
      <c r="J39" s="3" t="s">
        <v>14</v>
      </c>
      <c r="K39" s="3" t="s">
        <v>15</v>
      </c>
    </row>
    <row r="40" spans="1:11" x14ac:dyDescent="0.25">
      <c r="A40" s="7"/>
      <c r="B40" s="4"/>
      <c r="C40" s="3">
        <f t="shared" si="3"/>
        <v>37</v>
      </c>
      <c r="D40" s="3">
        <f t="shared" si="0"/>
        <v>37</v>
      </c>
      <c r="E40" s="3">
        <f t="shared" si="4"/>
        <v>74</v>
      </c>
      <c r="F40" s="3" t="str">
        <f t="shared" si="1"/>
        <v>004A</v>
      </c>
      <c r="G40" s="3" t="str">
        <f t="shared" si="2"/>
        <v>001001010</v>
      </c>
      <c r="H40" s="4"/>
      <c r="I40" s="3" t="s">
        <v>12</v>
      </c>
      <c r="J40" s="3" t="s">
        <v>14</v>
      </c>
      <c r="K40" s="3" t="s">
        <v>15</v>
      </c>
    </row>
    <row r="41" spans="1:11" x14ac:dyDescent="0.25">
      <c r="A41" s="7"/>
      <c r="B41" s="4"/>
      <c r="C41" s="3">
        <f t="shared" si="3"/>
        <v>38</v>
      </c>
      <c r="D41" s="3">
        <f t="shared" si="0"/>
        <v>38</v>
      </c>
      <c r="E41" s="3">
        <f t="shared" si="4"/>
        <v>76</v>
      </c>
      <c r="F41" s="3" t="str">
        <f t="shared" si="1"/>
        <v>004C</v>
      </c>
      <c r="G41" s="3" t="str">
        <f t="shared" si="2"/>
        <v>001001100</v>
      </c>
      <c r="H41" s="4"/>
      <c r="I41" s="3" t="s">
        <v>12</v>
      </c>
      <c r="J41" s="3" t="s">
        <v>14</v>
      </c>
      <c r="K41" s="3" t="s">
        <v>15</v>
      </c>
    </row>
    <row r="42" spans="1:11" x14ac:dyDescent="0.25">
      <c r="A42" s="7"/>
      <c r="B42" s="4"/>
      <c r="C42" s="3">
        <f t="shared" si="3"/>
        <v>39</v>
      </c>
      <c r="D42" s="3">
        <f t="shared" si="0"/>
        <v>39</v>
      </c>
      <c r="E42" s="3">
        <f t="shared" si="4"/>
        <v>78</v>
      </c>
      <c r="F42" s="3" t="str">
        <f t="shared" si="1"/>
        <v>004E</v>
      </c>
      <c r="G42" s="3" t="str">
        <f t="shared" si="2"/>
        <v>001001110</v>
      </c>
      <c r="H42" s="4"/>
      <c r="I42" s="3" t="s">
        <v>12</v>
      </c>
      <c r="J42" s="3" t="s">
        <v>14</v>
      </c>
      <c r="K42" s="3" t="s">
        <v>15</v>
      </c>
    </row>
    <row r="43" spans="1:11" x14ac:dyDescent="0.25">
      <c r="A43" s="7"/>
      <c r="B43" s="4"/>
      <c r="C43" s="3">
        <f t="shared" si="3"/>
        <v>40</v>
      </c>
      <c r="D43" s="3">
        <f t="shared" si="0"/>
        <v>40</v>
      </c>
      <c r="E43" s="3">
        <f t="shared" si="4"/>
        <v>80</v>
      </c>
      <c r="F43" s="3" t="str">
        <f t="shared" si="1"/>
        <v>0050</v>
      </c>
      <c r="G43" s="3" t="str">
        <f t="shared" si="2"/>
        <v>001010000</v>
      </c>
      <c r="H43" s="4"/>
      <c r="I43" s="3" t="s">
        <v>12</v>
      </c>
      <c r="J43" s="3" t="s">
        <v>14</v>
      </c>
      <c r="K43" s="3" t="s">
        <v>15</v>
      </c>
    </row>
    <row r="44" spans="1:11" x14ac:dyDescent="0.25">
      <c r="A44" s="7"/>
      <c r="B44" s="4"/>
      <c r="C44" s="3">
        <f t="shared" si="3"/>
        <v>41</v>
      </c>
      <c r="D44" s="3">
        <f t="shared" si="0"/>
        <v>41</v>
      </c>
      <c r="E44" s="3">
        <f t="shared" si="4"/>
        <v>82</v>
      </c>
      <c r="F44" s="3" t="str">
        <f t="shared" si="1"/>
        <v>0052</v>
      </c>
      <c r="G44" s="3" t="str">
        <f t="shared" si="2"/>
        <v>001010010</v>
      </c>
      <c r="H44" s="4"/>
      <c r="I44" s="3" t="s">
        <v>12</v>
      </c>
      <c r="J44" s="3" t="s">
        <v>14</v>
      </c>
      <c r="K44" s="3" t="s">
        <v>15</v>
      </c>
    </row>
    <row r="45" spans="1:11" x14ac:dyDescent="0.25">
      <c r="A45" s="7"/>
      <c r="B45" s="4"/>
      <c r="C45" s="3">
        <f t="shared" si="3"/>
        <v>42</v>
      </c>
      <c r="D45" s="3">
        <f t="shared" si="0"/>
        <v>42</v>
      </c>
      <c r="E45" s="3">
        <f t="shared" si="4"/>
        <v>84</v>
      </c>
      <c r="F45" s="3" t="str">
        <f t="shared" si="1"/>
        <v>0054</v>
      </c>
      <c r="G45" s="3" t="str">
        <f t="shared" si="2"/>
        <v>001010100</v>
      </c>
      <c r="H45" s="4"/>
      <c r="I45" s="3" t="s">
        <v>12</v>
      </c>
      <c r="J45" s="3" t="s">
        <v>14</v>
      </c>
      <c r="K45" s="3" t="s">
        <v>15</v>
      </c>
    </row>
    <row r="46" spans="1:11" x14ac:dyDescent="0.25">
      <c r="A46" s="7"/>
      <c r="B46" s="4"/>
      <c r="C46" s="3">
        <f t="shared" si="3"/>
        <v>43</v>
      </c>
      <c r="D46" s="3">
        <f t="shared" si="0"/>
        <v>43</v>
      </c>
      <c r="E46" s="3">
        <f t="shared" si="4"/>
        <v>86</v>
      </c>
      <c r="F46" s="3" t="str">
        <f t="shared" si="1"/>
        <v>0056</v>
      </c>
      <c r="G46" s="3" t="str">
        <f t="shared" si="2"/>
        <v>001010110</v>
      </c>
      <c r="H46" s="4"/>
      <c r="I46" s="3" t="s">
        <v>12</v>
      </c>
      <c r="J46" s="3" t="s">
        <v>14</v>
      </c>
      <c r="K46" s="3" t="s">
        <v>15</v>
      </c>
    </row>
    <row r="47" spans="1:11" x14ac:dyDescent="0.25">
      <c r="A47" s="7"/>
      <c r="B47" s="4"/>
      <c r="C47" s="3">
        <f t="shared" si="3"/>
        <v>44</v>
      </c>
      <c r="D47" s="3">
        <f t="shared" si="0"/>
        <v>44</v>
      </c>
      <c r="E47" s="3">
        <f t="shared" si="4"/>
        <v>88</v>
      </c>
      <c r="F47" s="3" t="str">
        <f t="shared" si="1"/>
        <v>0058</v>
      </c>
      <c r="G47" s="3" t="str">
        <f t="shared" si="2"/>
        <v>001011000</v>
      </c>
      <c r="H47" s="4"/>
      <c r="I47" s="3" t="s">
        <v>12</v>
      </c>
      <c r="J47" s="3" t="s">
        <v>14</v>
      </c>
      <c r="K47" s="3" t="s">
        <v>15</v>
      </c>
    </row>
    <row r="48" spans="1:11" x14ac:dyDescent="0.25">
      <c r="A48" s="7"/>
      <c r="B48" s="4"/>
      <c r="C48" s="3">
        <f t="shared" si="3"/>
        <v>45</v>
      </c>
      <c r="D48" s="3">
        <f t="shared" si="0"/>
        <v>45</v>
      </c>
      <c r="E48" s="3">
        <f t="shared" si="4"/>
        <v>90</v>
      </c>
      <c r="F48" s="3" t="str">
        <f t="shared" si="1"/>
        <v>005A</v>
      </c>
      <c r="G48" s="3" t="str">
        <f t="shared" si="2"/>
        <v>001011010</v>
      </c>
      <c r="H48" s="4"/>
      <c r="I48" s="3" t="s">
        <v>12</v>
      </c>
      <c r="J48" s="3" t="s">
        <v>14</v>
      </c>
      <c r="K48" s="3" t="s">
        <v>15</v>
      </c>
    </row>
    <row r="49" spans="1:11" x14ac:dyDescent="0.25">
      <c r="A49" s="7"/>
      <c r="B49" s="4"/>
      <c r="C49" s="3">
        <f t="shared" si="3"/>
        <v>46</v>
      </c>
      <c r="D49" s="3">
        <f t="shared" si="0"/>
        <v>46</v>
      </c>
      <c r="E49" s="3">
        <f t="shared" si="4"/>
        <v>92</v>
      </c>
      <c r="F49" s="3" t="str">
        <f t="shared" si="1"/>
        <v>005C</v>
      </c>
      <c r="G49" s="3" t="str">
        <f t="shared" si="2"/>
        <v>001011100</v>
      </c>
      <c r="H49" s="4"/>
      <c r="I49" s="3" t="s">
        <v>12</v>
      </c>
      <c r="J49" s="3" t="s">
        <v>14</v>
      </c>
      <c r="K49" s="3" t="s">
        <v>15</v>
      </c>
    </row>
    <row r="50" spans="1:11" x14ac:dyDescent="0.25">
      <c r="A50" s="7"/>
      <c r="B50" s="4"/>
      <c r="C50" s="3">
        <f t="shared" si="3"/>
        <v>47</v>
      </c>
      <c r="D50" s="3">
        <f t="shared" si="0"/>
        <v>47</v>
      </c>
      <c r="E50" s="3">
        <f t="shared" si="4"/>
        <v>94</v>
      </c>
      <c r="F50" s="3" t="str">
        <f t="shared" si="1"/>
        <v>005E</v>
      </c>
      <c r="G50" s="3" t="str">
        <f t="shared" si="2"/>
        <v>001011110</v>
      </c>
      <c r="H50" s="4"/>
      <c r="I50" s="3" t="s">
        <v>12</v>
      </c>
      <c r="J50" s="3" t="s">
        <v>14</v>
      </c>
      <c r="K50" s="3" t="s">
        <v>15</v>
      </c>
    </row>
    <row r="51" spans="1:11" x14ac:dyDescent="0.25">
      <c r="A51" s="7"/>
      <c r="B51" s="4"/>
      <c r="C51" s="3">
        <f t="shared" si="3"/>
        <v>48</v>
      </c>
      <c r="D51" s="3">
        <f t="shared" si="0"/>
        <v>48</v>
      </c>
      <c r="E51" s="3">
        <f t="shared" si="4"/>
        <v>96</v>
      </c>
      <c r="F51" s="3" t="str">
        <f t="shared" si="1"/>
        <v>0060</v>
      </c>
      <c r="G51" s="3" t="str">
        <f t="shared" si="2"/>
        <v>001100000</v>
      </c>
      <c r="H51" s="4"/>
      <c r="I51" s="3" t="s">
        <v>12</v>
      </c>
      <c r="J51" s="3" t="s">
        <v>14</v>
      </c>
      <c r="K51" s="3" t="s">
        <v>15</v>
      </c>
    </row>
    <row r="52" spans="1:11" x14ac:dyDescent="0.25">
      <c r="A52" s="7"/>
      <c r="B52" s="4"/>
      <c r="C52" s="3">
        <f t="shared" si="3"/>
        <v>49</v>
      </c>
      <c r="D52" s="3">
        <f t="shared" si="0"/>
        <v>49</v>
      </c>
      <c r="E52" s="3">
        <f t="shared" si="4"/>
        <v>98</v>
      </c>
      <c r="F52" s="3" t="str">
        <f t="shared" si="1"/>
        <v>0062</v>
      </c>
      <c r="G52" s="3" t="str">
        <f t="shared" si="2"/>
        <v>001100010</v>
      </c>
      <c r="H52" s="4"/>
      <c r="I52" s="3" t="s">
        <v>12</v>
      </c>
      <c r="J52" s="3" t="s">
        <v>10</v>
      </c>
      <c r="K52" s="3" t="s">
        <v>11</v>
      </c>
    </row>
    <row r="53" spans="1:11" x14ac:dyDescent="0.25">
      <c r="A53" s="7"/>
      <c r="B53" s="4"/>
      <c r="C53" s="3">
        <f t="shared" si="3"/>
        <v>50</v>
      </c>
      <c r="D53" s="3">
        <f t="shared" si="0"/>
        <v>50</v>
      </c>
      <c r="E53" s="3">
        <f t="shared" si="4"/>
        <v>100</v>
      </c>
      <c r="F53" s="3" t="str">
        <f t="shared" si="1"/>
        <v>0064</v>
      </c>
      <c r="G53" s="3" t="str">
        <f t="shared" si="2"/>
        <v>001100100</v>
      </c>
      <c r="H53" s="4"/>
      <c r="I53" s="3" t="s">
        <v>13</v>
      </c>
      <c r="J53" s="3" t="s">
        <v>10</v>
      </c>
      <c r="K53" s="3" t="s">
        <v>11</v>
      </c>
    </row>
    <row r="54" spans="1:11" x14ac:dyDescent="0.25">
      <c r="A54" s="7"/>
      <c r="B54" s="4"/>
      <c r="C54" s="3">
        <f t="shared" si="3"/>
        <v>51</v>
      </c>
      <c r="D54" s="3">
        <f t="shared" si="0"/>
        <v>51</v>
      </c>
      <c r="E54" s="3">
        <f t="shared" si="4"/>
        <v>102</v>
      </c>
      <c r="F54" s="3" t="str">
        <f t="shared" si="1"/>
        <v>0066</v>
      </c>
      <c r="G54" s="3" t="str">
        <f t="shared" si="2"/>
        <v>001100110</v>
      </c>
      <c r="H54" s="4"/>
      <c r="I54" s="3" t="s">
        <v>13</v>
      </c>
      <c r="J54" s="3" t="s">
        <v>10</v>
      </c>
      <c r="K54" s="3" t="s">
        <v>11</v>
      </c>
    </row>
    <row r="55" spans="1:11" x14ac:dyDescent="0.25">
      <c r="A55" s="7"/>
      <c r="B55" s="4"/>
      <c r="C55" s="3">
        <f t="shared" si="3"/>
        <v>52</v>
      </c>
      <c r="D55" s="3">
        <f t="shared" si="0"/>
        <v>52</v>
      </c>
      <c r="E55" s="3">
        <f t="shared" si="4"/>
        <v>104</v>
      </c>
      <c r="F55" s="3" t="str">
        <f t="shared" si="1"/>
        <v>0068</v>
      </c>
      <c r="G55" s="3" t="str">
        <f t="shared" si="2"/>
        <v>001101000</v>
      </c>
      <c r="H55" s="4"/>
      <c r="I55" s="3" t="s">
        <v>13</v>
      </c>
      <c r="J55" s="3" t="s">
        <v>10</v>
      </c>
      <c r="K55" s="3" t="s">
        <v>11</v>
      </c>
    </row>
    <row r="56" spans="1:11" x14ac:dyDescent="0.25">
      <c r="A56" s="7"/>
      <c r="B56" s="4"/>
      <c r="C56" s="3">
        <f t="shared" si="3"/>
        <v>53</v>
      </c>
      <c r="D56" s="3">
        <f t="shared" si="0"/>
        <v>53</v>
      </c>
      <c r="E56" s="3">
        <f t="shared" si="4"/>
        <v>106</v>
      </c>
      <c r="F56" s="3" t="str">
        <f t="shared" si="1"/>
        <v>006A</v>
      </c>
      <c r="G56" s="3" t="str">
        <f t="shared" si="2"/>
        <v>001101010</v>
      </c>
      <c r="H56" s="4"/>
      <c r="I56" s="3" t="s">
        <v>13</v>
      </c>
      <c r="J56" s="3" t="s">
        <v>10</v>
      </c>
      <c r="K56" s="3" t="s">
        <v>11</v>
      </c>
    </row>
    <row r="57" spans="1:11" x14ac:dyDescent="0.25">
      <c r="A57" s="7"/>
      <c r="B57" s="4"/>
      <c r="C57" s="3">
        <f t="shared" si="3"/>
        <v>54</v>
      </c>
      <c r="D57" s="3">
        <f t="shared" si="0"/>
        <v>54</v>
      </c>
      <c r="E57" s="3">
        <f t="shared" si="4"/>
        <v>108</v>
      </c>
      <c r="F57" s="3" t="str">
        <f t="shared" si="1"/>
        <v>006C</v>
      </c>
      <c r="G57" s="3" t="str">
        <f t="shared" si="2"/>
        <v>001101100</v>
      </c>
      <c r="H57" s="4"/>
      <c r="I57" s="3" t="s">
        <v>13</v>
      </c>
      <c r="J57" s="3" t="s">
        <v>10</v>
      </c>
      <c r="K57" s="3" t="s">
        <v>11</v>
      </c>
    </row>
    <row r="58" spans="1:11" x14ac:dyDescent="0.25">
      <c r="A58" s="7"/>
      <c r="B58" s="4"/>
      <c r="C58" s="3">
        <f t="shared" si="3"/>
        <v>55</v>
      </c>
      <c r="D58" s="3">
        <f t="shared" si="0"/>
        <v>55</v>
      </c>
      <c r="E58" s="3">
        <f t="shared" si="4"/>
        <v>110</v>
      </c>
      <c r="F58" s="3" t="str">
        <f t="shared" si="1"/>
        <v>006E</v>
      </c>
      <c r="G58" s="3" t="str">
        <f t="shared" si="2"/>
        <v>001101110</v>
      </c>
      <c r="H58" s="4"/>
      <c r="I58" s="3" t="s">
        <v>13</v>
      </c>
      <c r="J58" s="3" t="s">
        <v>10</v>
      </c>
      <c r="K58" s="3" t="s">
        <v>11</v>
      </c>
    </row>
    <row r="59" spans="1:11" x14ac:dyDescent="0.25">
      <c r="A59" s="7"/>
      <c r="B59" s="4"/>
      <c r="C59" s="3">
        <f t="shared" si="3"/>
        <v>56</v>
      </c>
      <c r="D59" s="3">
        <f t="shared" si="0"/>
        <v>56</v>
      </c>
      <c r="E59" s="3">
        <f t="shared" si="4"/>
        <v>112</v>
      </c>
      <c r="F59" s="3" t="str">
        <f t="shared" si="1"/>
        <v>0070</v>
      </c>
      <c r="G59" s="3" t="str">
        <f t="shared" si="2"/>
        <v>001110000</v>
      </c>
      <c r="H59" s="4"/>
      <c r="I59" s="3" t="s">
        <v>13</v>
      </c>
      <c r="J59" s="3" t="s">
        <v>10</v>
      </c>
      <c r="K59" s="3" t="s">
        <v>11</v>
      </c>
    </row>
    <row r="60" spans="1:11" x14ac:dyDescent="0.25">
      <c r="A60" s="7"/>
      <c r="B60" s="4"/>
      <c r="C60" s="3">
        <f t="shared" si="3"/>
        <v>57</v>
      </c>
      <c r="D60" s="3">
        <f t="shared" si="0"/>
        <v>57</v>
      </c>
      <c r="E60" s="3">
        <f t="shared" si="4"/>
        <v>114</v>
      </c>
      <c r="F60" s="3" t="str">
        <f t="shared" si="1"/>
        <v>0072</v>
      </c>
      <c r="G60" s="3" t="str">
        <f t="shared" si="2"/>
        <v>001110010</v>
      </c>
      <c r="H60" s="4"/>
      <c r="I60" s="3" t="s">
        <v>13</v>
      </c>
      <c r="J60" s="3" t="s">
        <v>10</v>
      </c>
      <c r="K60" s="3" t="s">
        <v>11</v>
      </c>
    </row>
    <row r="61" spans="1:11" x14ac:dyDescent="0.25">
      <c r="A61" s="7"/>
      <c r="B61" s="4"/>
      <c r="C61" s="3">
        <f t="shared" si="3"/>
        <v>58</v>
      </c>
      <c r="D61" s="3">
        <f t="shared" si="0"/>
        <v>58</v>
      </c>
      <c r="E61" s="3">
        <f t="shared" si="4"/>
        <v>116</v>
      </c>
      <c r="F61" s="3" t="str">
        <f t="shared" si="1"/>
        <v>0074</v>
      </c>
      <c r="G61" s="3" t="str">
        <f t="shared" si="2"/>
        <v>001110100</v>
      </c>
      <c r="H61" s="4"/>
      <c r="I61" s="3" t="s">
        <v>13</v>
      </c>
      <c r="J61" s="3" t="s">
        <v>10</v>
      </c>
      <c r="K61" s="3" t="s">
        <v>11</v>
      </c>
    </row>
    <row r="62" spans="1:11" x14ac:dyDescent="0.25">
      <c r="A62" s="7"/>
      <c r="B62" s="4"/>
      <c r="C62" s="3">
        <f t="shared" si="3"/>
        <v>59</v>
      </c>
      <c r="D62" s="3">
        <f t="shared" si="0"/>
        <v>59</v>
      </c>
      <c r="E62" s="3">
        <f t="shared" si="4"/>
        <v>118</v>
      </c>
      <c r="F62" s="3" t="str">
        <f t="shared" si="1"/>
        <v>0076</v>
      </c>
      <c r="G62" s="3" t="str">
        <f t="shared" si="2"/>
        <v>001110110</v>
      </c>
      <c r="H62" s="4"/>
      <c r="I62" s="3" t="s">
        <v>13</v>
      </c>
      <c r="J62" s="3" t="s">
        <v>10</v>
      </c>
      <c r="K62" s="3" t="s">
        <v>11</v>
      </c>
    </row>
    <row r="63" spans="1:11" x14ac:dyDescent="0.25">
      <c r="A63" s="7"/>
      <c r="B63" s="4"/>
      <c r="C63" s="3">
        <f t="shared" si="3"/>
        <v>60</v>
      </c>
      <c r="D63" s="3">
        <f t="shared" si="0"/>
        <v>60</v>
      </c>
      <c r="E63" s="3">
        <f t="shared" si="4"/>
        <v>120</v>
      </c>
      <c r="F63" s="3" t="str">
        <f t="shared" si="1"/>
        <v>0078</v>
      </c>
      <c r="G63" s="3" t="str">
        <f t="shared" si="2"/>
        <v>001111000</v>
      </c>
      <c r="H63" s="4"/>
      <c r="I63" s="3" t="s">
        <v>13</v>
      </c>
      <c r="J63" s="3" t="s">
        <v>10</v>
      </c>
      <c r="K63" s="3" t="s">
        <v>11</v>
      </c>
    </row>
    <row r="64" spans="1:11" x14ac:dyDescent="0.25">
      <c r="A64" s="7"/>
      <c r="B64" s="4"/>
      <c r="C64" s="3">
        <f t="shared" si="3"/>
        <v>61</v>
      </c>
      <c r="D64" s="3">
        <f t="shared" si="0"/>
        <v>61</v>
      </c>
      <c r="E64" s="3">
        <f t="shared" si="4"/>
        <v>122</v>
      </c>
      <c r="F64" s="3" t="str">
        <f t="shared" si="1"/>
        <v>007A</v>
      </c>
      <c r="G64" s="3" t="str">
        <f t="shared" si="2"/>
        <v>001111010</v>
      </c>
      <c r="H64" s="4"/>
      <c r="I64" s="3" t="s">
        <v>13</v>
      </c>
      <c r="J64" s="3" t="s">
        <v>10</v>
      </c>
      <c r="K64" s="3" t="s">
        <v>11</v>
      </c>
    </row>
    <row r="65" spans="1:11" x14ac:dyDescent="0.25">
      <c r="A65" s="7"/>
      <c r="B65" s="4"/>
      <c r="C65" s="3">
        <f t="shared" si="3"/>
        <v>62</v>
      </c>
      <c r="D65" s="3">
        <f t="shared" si="0"/>
        <v>62</v>
      </c>
      <c r="E65" s="3">
        <f t="shared" si="4"/>
        <v>124</v>
      </c>
      <c r="F65" s="3" t="str">
        <f t="shared" si="1"/>
        <v>007C</v>
      </c>
      <c r="G65" s="3" t="str">
        <f t="shared" si="2"/>
        <v>001111100</v>
      </c>
      <c r="H65" s="4"/>
      <c r="I65" s="3" t="s">
        <v>13</v>
      </c>
      <c r="J65" s="3" t="s">
        <v>10</v>
      </c>
      <c r="K65" s="3" t="s">
        <v>11</v>
      </c>
    </row>
    <row r="66" spans="1:11" x14ac:dyDescent="0.25">
      <c r="A66" s="7"/>
      <c r="B66" s="4"/>
      <c r="C66" s="3">
        <f t="shared" si="3"/>
        <v>63</v>
      </c>
      <c r="D66" s="3">
        <f t="shared" si="0"/>
        <v>63</v>
      </c>
      <c r="E66" s="3">
        <f t="shared" si="4"/>
        <v>126</v>
      </c>
      <c r="F66" s="3" t="str">
        <f t="shared" si="1"/>
        <v>007E</v>
      </c>
      <c r="G66" s="3" t="str">
        <f t="shared" si="2"/>
        <v>001111110</v>
      </c>
      <c r="H66" s="4"/>
      <c r="I66" s="3" t="s">
        <v>12</v>
      </c>
      <c r="J66" s="3" t="s">
        <v>10</v>
      </c>
      <c r="K66" s="3" t="s">
        <v>11</v>
      </c>
    </row>
    <row r="67" spans="1:11" x14ac:dyDescent="0.25">
      <c r="A67" s="7"/>
      <c r="B67" s="4"/>
      <c r="C67" s="3">
        <f>C66+1</f>
        <v>64</v>
      </c>
      <c r="D67" s="3">
        <f t="shared" si="0"/>
        <v>64</v>
      </c>
      <c r="E67" s="3">
        <f>IF((OR(J66="U16",J66="S16")),E66+2,E66+4)</f>
        <v>128</v>
      </c>
      <c r="F67" s="3" t="str">
        <f t="shared" si="1"/>
        <v>0080</v>
      </c>
      <c r="G67" s="3" t="str">
        <f t="shared" si="2"/>
        <v>010000000</v>
      </c>
      <c r="H67" s="4"/>
      <c r="I67" s="3" t="s">
        <v>13</v>
      </c>
      <c r="J67" s="3" t="s">
        <v>10</v>
      </c>
      <c r="K67" s="3" t="s">
        <v>11</v>
      </c>
    </row>
    <row r="68" spans="1:11" x14ac:dyDescent="0.25">
      <c r="A68" s="7"/>
      <c r="B68" s="4"/>
      <c r="C68" s="3">
        <f t="shared" si="3"/>
        <v>65</v>
      </c>
      <c r="D68" s="3">
        <f t="shared" ref="D68" si="5">E68/2</f>
        <v>65</v>
      </c>
      <c r="E68" s="3">
        <f t="shared" ref="E68" si="6">IF((OR(J67="U16",J67="S16")),E67+2,E67+4)</f>
        <v>130</v>
      </c>
      <c r="F68" s="3" t="str">
        <f t="shared" ref="F68" si="7">DEC2HEX(E68,4)</f>
        <v>0082</v>
      </c>
      <c r="G68" s="3" t="str">
        <f t="shared" ref="G68" si="8">DEC2BIN(E68,9)</f>
        <v>010000010</v>
      </c>
      <c r="H68" s="4"/>
      <c r="I68" s="3" t="s">
        <v>13</v>
      </c>
      <c r="J68" s="3" t="s">
        <v>10</v>
      </c>
      <c r="K68" s="3" t="s">
        <v>11</v>
      </c>
    </row>
    <row r="69" spans="1:11" x14ac:dyDescent="0.25">
      <c r="A69" s="7"/>
      <c r="B69" s="4"/>
      <c r="C69" s="3">
        <f t="shared" si="3"/>
        <v>66</v>
      </c>
      <c r="D69" s="3">
        <f t="shared" ref="D69:D98" si="9">E69/2</f>
        <v>66</v>
      </c>
      <c r="E69" s="3">
        <f t="shared" ref="E69:E98" si="10">IF((OR(J68="U16",J68="S16")),E68+2,E68+4)</f>
        <v>132</v>
      </c>
      <c r="F69" s="3" t="str">
        <f t="shared" ref="F69:F98" si="11">DEC2HEX(E69,4)</f>
        <v>0084</v>
      </c>
      <c r="G69" s="3" t="str">
        <f t="shared" ref="G69:G98" si="12">DEC2BIN(E69,9)</f>
        <v>010000100</v>
      </c>
      <c r="H69" s="4"/>
      <c r="I69" s="3" t="s">
        <v>12</v>
      </c>
      <c r="J69" s="3" t="s">
        <v>14</v>
      </c>
      <c r="K69" s="3" t="s">
        <v>15</v>
      </c>
    </row>
    <row r="70" spans="1:11" x14ac:dyDescent="0.25">
      <c r="A70" s="7"/>
      <c r="B70" s="4"/>
      <c r="C70" s="3">
        <f t="shared" si="3"/>
        <v>67</v>
      </c>
      <c r="D70" s="3">
        <f t="shared" si="9"/>
        <v>67</v>
      </c>
      <c r="E70" s="3">
        <f t="shared" si="10"/>
        <v>134</v>
      </c>
      <c r="F70" s="3" t="str">
        <f t="shared" si="11"/>
        <v>0086</v>
      </c>
      <c r="G70" s="3" t="str">
        <f t="shared" si="12"/>
        <v>010000110</v>
      </c>
      <c r="I70" s="3" t="s">
        <v>12</v>
      </c>
      <c r="J70" s="3" t="s">
        <v>14</v>
      </c>
      <c r="K70" s="3" t="s">
        <v>15</v>
      </c>
    </row>
    <row r="71" spans="1:11" x14ac:dyDescent="0.25">
      <c r="A71" s="7"/>
      <c r="B71" s="4"/>
      <c r="C71" s="3">
        <f t="shared" si="3"/>
        <v>68</v>
      </c>
      <c r="D71" s="3">
        <f t="shared" si="9"/>
        <v>68</v>
      </c>
      <c r="E71" s="3">
        <f t="shared" si="10"/>
        <v>136</v>
      </c>
      <c r="F71" s="3" t="str">
        <f t="shared" si="11"/>
        <v>0088</v>
      </c>
      <c r="G71" s="3" t="str">
        <f t="shared" si="12"/>
        <v>010001000</v>
      </c>
      <c r="H71" s="4"/>
      <c r="I71" s="3" t="s">
        <v>12</v>
      </c>
      <c r="J71" s="3" t="s">
        <v>14</v>
      </c>
      <c r="K71" s="3" t="s">
        <v>15</v>
      </c>
    </row>
    <row r="72" spans="1:11" x14ac:dyDescent="0.25">
      <c r="A72" s="7"/>
      <c r="B72" s="4"/>
      <c r="C72" s="3">
        <f t="shared" si="3"/>
        <v>69</v>
      </c>
      <c r="D72" s="3">
        <f t="shared" si="9"/>
        <v>69</v>
      </c>
      <c r="E72" s="3">
        <f t="shared" si="10"/>
        <v>138</v>
      </c>
      <c r="F72" s="3" t="str">
        <f t="shared" si="11"/>
        <v>008A</v>
      </c>
      <c r="G72" s="3" t="str">
        <f t="shared" si="12"/>
        <v>010001010</v>
      </c>
      <c r="H72" s="4"/>
      <c r="I72" s="3" t="s">
        <v>12</v>
      </c>
      <c r="J72" s="3" t="s">
        <v>14</v>
      </c>
      <c r="K72" s="3" t="s">
        <v>15</v>
      </c>
    </row>
    <row r="73" spans="1:11" x14ac:dyDescent="0.25">
      <c r="A73" s="7"/>
      <c r="B73" s="4"/>
      <c r="C73" s="3">
        <f t="shared" si="3"/>
        <v>70</v>
      </c>
      <c r="D73" s="3">
        <f t="shared" si="9"/>
        <v>70</v>
      </c>
      <c r="E73" s="3">
        <f t="shared" si="10"/>
        <v>140</v>
      </c>
      <c r="F73" s="3" t="str">
        <f t="shared" si="11"/>
        <v>008C</v>
      </c>
      <c r="G73" s="3" t="str">
        <f t="shared" si="12"/>
        <v>010001100</v>
      </c>
      <c r="H73" s="4"/>
      <c r="I73" s="3" t="s">
        <v>12</v>
      </c>
      <c r="J73" s="3" t="s">
        <v>14</v>
      </c>
      <c r="K73" s="3" t="s">
        <v>15</v>
      </c>
    </row>
    <row r="74" spans="1:11" x14ac:dyDescent="0.25">
      <c r="A74" s="7"/>
      <c r="B74" s="4"/>
      <c r="C74" s="3">
        <f t="shared" si="3"/>
        <v>71</v>
      </c>
      <c r="D74" s="3">
        <f t="shared" si="9"/>
        <v>71</v>
      </c>
      <c r="E74" s="3">
        <f t="shared" si="10"/>
        <v>142</v>
      </c>
      <c r="F74" s="3" t="str">
        <f t="shared" si="11"/>
        <v>008E</v>
      </c>
      <c r="G74" s="3" t="str">
        <f t="shared" si="12"/>
        <v>010001110</v>
      </c>
      <c r="H74" s="4"/>
      <c r="I74" s="3" t="s">
        <v>12</v>
      </c>
      <c r="J74" s="3" t="s">
        <v>14</v>
      </c>
      <c r="K74" s="3" t="s">
        <v>15</v>
      </c>
    </row>
    <row r="75" spans="1:11" x14ac:dyDescent="0.25">
      <c r="A75" s="7"/>
      <c r="B75" s="4"/>
      <c r="C75" s="3">
        <f t="shared" si="3"/>
        <v>72</v>
      </c>
      <c r="D75" s="3">
        <f t="shared" si="9"/>
        <v>72</v>
      </c>
      <c r="E75" s="3">
        <f t="shared" si="10"/>
        <v>144</v>
      </c>
      <c r="F75" s="3" t="str">
        <f t="shared" si="11"/>
        <v>0090</v>
      </c>
      <c r="G75" s="3" t="str">
        <f t="shared" si="12"/>
        <v>010010000</v>
      </c>
      <c r="H75" s="4"/>
      <c r="I75" s="3" t="s">
        <v>12</v>
      </c>
      <c r="J75" s="3" t="s">
        <v>14</v>
      </c>
      <c r="K75" s="3" t="s">
        <v>15</v>
      </c>
    </row>
    <row r="76" spans="1:11" x14ac:dyDescent="0.25">
      <c r="A76" s="7"/>
      <c r="B76" s="4"/>
      <c r="C76" s="3">
        <f t="shared" si="3"/>
        <v>73</v>
      </c>
      <c r="D76" s="3">
        <f t="shared" si="9"/>
        <v>73</v>
      </c>
      <c r="E76" s="3">
        <f t="shared" si="10"/>
        <v>146</v>
      </c>
      <c r="F76" s="3" t="str">
        <f t="shared" si="11"/>
        <v>0092</v>
      </c>
      <c r="G76" s="3" t="str">
        <f t="shared" si="12"/>
        <v>010010010</v>
      </c>
      <c r="H76" s="4"/>
      <c r="I76" s="3" t="s">
        <v>12</v>
      </c>
      <c r="J76" s="3" t="s">
        <v>14</v>
      </c>
      <c r="K76" s="3" t="s">
        <v>15</v>
      </c>
    </row>
    <row r="77" spans="1:11" x14ac:dyDescent="0.25">
      <c r="A77" s="7"/>
      <c r="B77" s="4"/>
      <c r="C77" s="3">
        <f t="shared" si="3"/>
        <v>74</v>
      </c>
      <c r="D77" s="3">
        <f t="shared" si="9"/>
        <v>74</v>
      </c>
      <c r="E77" s="3">
        <f t="shared" si="10"/>
        <v>148</v>
      </c>
      <c r="F77" s="3" t="str">
        <f t="shared" si="11"/>
        <v>0094</v>
      </c>
      <c r="G77" s="3" t="str">
        <f t="shared" si="12"/>
        <v>010010100</v>
      </c>
      <c r="H77" s="4"/>
      <c r="I77" s="3" t="s">
        <v>12</v>
      </c>
      <c r="J77" s="3" t="s">
        <v>14</v>
      </c>
      <c r="K77" s="3" t="s">
        <v>15</v>
      </c>
    </row>
    <row r="78" spans="1:11" x14ac:dyDescent="0.25">
      <c r="A78" s="7"/>
      <c r="B78" s="4"/>
      <c r="C78" s="3">
        <f t="shared" si="3"/>
        <v>75</v>
      </c>
      <c r="D78" s="3">
        <f t="shared" si="9"/>
        <v>75</v>
      </c>
      <c r="E78" s="3">
        <f t="shared" si="10"/>
        <v>150</v>
      </c>
      <c r="F78" s="3" t="str">
        <f t="shared" si="11"/>
        <v>0096</v>
      </c>
      <c r="G78" s="3" t="str">
        <f t="shared" si="12"/>
        <v>010010110</v>
      </c>
      <c r="H78" s="4"/>
      <c r="I78" s="3" t="s">
        <v>12</v>
      </c>
      <c r="J78" s="3" t="s">
        <v>14</v>
      </c>
      <c r="K78" s="3" t="s">
        <v>15</v>
      </c>
    </row>
    <row r="79" spans="1:11" x14ac:dyDescent="0.25">
      <c r="A79" s="7"/>
      <c r="B79" s="4"/>
      <c r="C79" s="3">
        <f t="shared" si="3"/>
        <v>76</v>
      </c>
      <c r="D79" s="3">
        <f t="shared" si="9"/>
        <v>76</v>
      </c>
      <c r="E79" s="3">
        <f t="shared" si="10"/>
        <v>152</v>
      </c>
      <c r="F79" s="3" t="str">
        <f t="shared" si="11"/>
        <v>0098</v>
      </c>
      <c r="G79" s="3" t="str">
        <f t="shared" si="12"/>
        <v>010011000</v>
      </c>
      <c r="H79" s="4"/>
      <c r="I79" s="3" t="s">
        <v>12</v>
      </c>
      <c r="J79" s="3" t="s">
        <v>14</v>
      </c>
      <c r="K79" s="3" t="s">
        <v>15</v>
      </c>
    </row>
    <row r="80" spans="1:11" x14ac:dyDescent="0.25">
      <c r="A80" s="7"/>
      <c r="B80" s="4"/>
      <c r="C80" s="3">
        <f t="shared" si="3"/>
        <v>77</v>
      </c>
      <c r="D80" s="3">
        <f t="shared" si="9"/>
        <v>77</v>
      </c>
      <c r="E80" s="3">
        <f t="shared" si="10"/>
        <v>154</v>
      </c>
      <c r="F80" s="3" t="str">
        <f t="shared" si="11"/>
        <v>009A</v>
      </c>
      <c r="G80" s="3" t="str">
        <f t="shared" si="12"/>
        <v>010011010</v>
      </c>
      <c r="H80" s="4"/>
      <c r="I80" s="3" t="s">
        <v>12</v>
      </c>
      <c r="J80" s="3" t="s">
        <v>14</v>
      </c>
      <c r="K80" s="3" t="s">
        <v>15</v>
      </c>
    </row>
    <row r="81" spans="1:11" x14ac:dyDescent="0.25">
      <c r="A81" s="7"/>
      <c r="B81" s="4"/>
      <c r="C81" s="3">
        <f t="shared" si="3"/>
        <v>78</v>
      </c>
      <c r="D81" s="3">
        <f t="shared" si="9"/>
        <v>78</v>
      </c>
      <c r="E81" s="3">
        <f t="shared" si="10"/>
        <v>156</v>
      </c>
      <c r="F81" s="3" t="str">
        <f t="shared" si="11"/>
        <v>009C</v>
      </c>
      <c r="G81" s="3" t="str">
        <f t="shared" si="12"/>
        <v>010011100</v>
      </c>
      <c r="H81" s="4"/>
      <c r="I81" s="3" t="s">
        <v>12</v>
      </c>
      <c r="J81" s="3" t="s">
        <v>14</v>
      </c>
      <c r="K81" s="3" t="s">
        <v>15</v>
      </c>
    </row>
    <row r="82" spans="1:11" x14ac:dyDescent="0.25">
      <c r="A82" s="7"/>
      <c r="B82" s="4"/>
      <c r="C82" s="3">
        <f t="shared" si="3"/>
        <v>79</v>
      </c>
      <c r="D82" s="3">
        <f t="shared" si="9"/>
        <v>79</v>
      </c>
      <c r="E82" s="3">
        <f t="shared" si="10"/>
        <v>158</v>
      </c>
      <c r="F82" s="3" t="str">
        <f t="shared" si="11"/>
        <v>009E</v>
      </c>
      <c r="G82" s="3" t="str">
        <f t="shared" si="12"/>
        <v>010011110</v>
      </c>
      <c r="H82" s="4"/>
      <c r="I82" s="3" t="s">
        <v>12</v>
      </c>
      <c r="J82" s="3" t="s">
        <v>14</v>
      </c>
      <c r="K82" s="3" t="s">
        <v>15</v>
      </c>
    </row>
    <row r="83" spans="1:11" x14ac:dyDescent="0.25">
      <c r="A83" s="7"/>
      <c r="B83" s="4"/>
      <c r="C83" s="3">
        <f t="shared" si="3"/>
        <v>80</v>
      </c>
      <c r="D83" s="3">
        <f t="shared" si="9"/>
        <v>80</v>
      </c>
      <c r="E83" s="3">
        <f t="shared" si="10"/>
        <v>160</v>
      </c>
      <c r="F83" s="3" t="str">
        <f t="shared" si="11"/>
        <v>00A0</v>
      </c>
      <c r="G83" s="3" t="str">
        <f t="shared" si="12"/>
        <v>010100000</v>
      </c>
      <c r="H83" s="4"/>
      <c r="I83" s="3" t="s">
        <v>12</v>
      </c>
      <c r="J83" s="3" t="s">
        <v>14</v>
      </c>
      <c r="K83" s="3" t="s">
        <v>15</v>
      </c>
    </row>
    <row r="84" spans="1:11" x14ac:dyDescent="0.25">
      <c r="A84" s="7"/>
      <c r="B84" s="4"/>
      <c r="C84" s="3">
        <f t="shared" si="3"/>
        <v>81</v>
      </c>
      <c r="D84" s="3">
        <f t="shared" si="9"/>
        <v>81</v>
      </c>
      <c r="E84" s="3">
        <f t="shared" si="10"/>
        <v>162</v>
      </c>
      <c r="F84" s="3" t="str">
        <f t="shared" si="11"/>
        <v>00A2</v>
      </c>
      <c r="G84" s="3" t="str">
        <f t="shared" si="12"/>
        <v>010100010</v>
      </c>
      <c r="H84" s="4"/>
      <c r="I84" s="3" t="s">
        <v>12</v>
      </c>
      <c r="J84" s="3" t="s">
        <v>14</v>
      </c>
      <c r="K84" s="3" t="s">
        <v>15</v>
      </c>
    </row>
    <row r="85" spans="1:11" x14ac:dyDescent="0.25">
      <c r="A85" s="7"/>
      <c r="B85" s="4"/>
      <c r="C85" s="3">
        <f t="shared" si="3"/>
        <v>82</v>
      </c>
      <c r="D85" s="3">
        <f t="shared" si="9"/>
        <v>82</v>
      </c>
      <c r="E85" s="3">
        <f t="shared" si="10"/>
        <v>164</v>
      </c>
      <c r="F85" s="3" t="str">
        <f t="shared" si="11"/>
        <v>00A4</v>
      </c>
      <c r="G85" s="3" t="str">
        <f t="shared" si="12"/>
        <v>010100100</v>
      </c>
      <c r="H85" s="4"/>
      <c r="I85" s="3" t="s">
        <v>12</v>
      </c>
      <c r="J85" s="3" t="s">
        <v>14</v>
      </c>
      <c r="K85" s="3" t="s">
        <v>15</v>
      </c>
    </row>
    <row r="86" spans="1:11" x14ac:dyDescent="0.25">
      <c r="A86" s="7"/>
      <c r="B86" s="4"/>
      <c r="C86" s="3">
        <f t="shared" si="3"/>
        <v>83</v>
      </c>
      <c r="D86" s="3">
        <f t="shared" si="9"/>
        <v>83</v>
      </c>
      <c r="E86" s="3">
        <f t="shared" si="10"/>
        <v>166</v>
      </c>
      <c r="F86" s="3" t="str">
        <f t="shared" si="11"/>
        <v>00A6</v>
      </c>
      <c r="G86" s="3" t="str">
        <f t="shared" si="12"/>
        <v>010100110</v>
      </c>
      <c r="H86" s="4"/>
      <c r="I86" s="3" t="s">
        <v>12</v>
      </c>
      <c r="J86" s="3" t="s">
        <v>14</v>
      </c>
      <c r="K86" s="3" t="s">
        <v>15</v>
      </c>
    </row>
    <row r="87" spans="1:11" x14ac:dyDescent="0.25">
      <c r="A87" s="7"/>
      <c r="B87" s="4"/>
      <c r="C87" s="3">
        <f t="shared" si="3"/>
        <v>84</v>
      </c>
      <c r="D87" s="3">
        <f t="shared" si="9"/>
        <v>84</v>
      </c>
      <c r="E87" s="3">
        <f t="shared" si="10"/>
        <v>168</v>
      </c>
      <c r="F87" s="3" t="str">
        <f t="shared" si="11"/>
        <v>00A8</v>
      </c>
      <c r="G87" s="3" t="str">
        <f t="shared" si="12"/>
        <v>010101000</v>
      </c>
      <c r="H87" s="4"/>
      <c r="I87" s="3" t="s">
        <v>12</v>
      </c>
      <c r="J87" s="3" t="s">
        <v>14</v>
      </c>
      <c r="K87" s="3" t="s">
        <v>15</v>
      </c>
    </row>
    <row r="88" spans="1:11" x14ac:dyDescent="0.25">
      <c r="A88" s="7"/>
      <c r="B88" s="4"/>
      <c r="C88" s="3">
        <f t="shared" si="3"/>
        <v>85</v>
      </c>
      <c r="D88" s="3">
        <f t="shared" si="9"/>
        <v>85</v>
      </c>
      <c r="E88" s="3">
        <f t="shared" si="10"/>
        <v>170</v>
      </c>
      <c r="F88" s="3" t="str">
        <f t="shared" si="11"/>
        <v>00AA</v>
      </c>
      <c r="G88" s="3" t="str">
        <f t="shared" si="12"/>
        <v>010101010</v>
      </c>
      <c r="H88" s="4"/>
      <c r="I88" s="3" t="s">
        <v>12</v>
      </c>
      <c r="J88" s="3" t="s">
        <v>14</v>
      </c>
      <c r="K88" s="3" t="s">
        <v>15</v>
      </c>
    </row>
    <row r="89" spans="1:11" x14ac:dyDescent="0.25">
      <c r="A89" s="7"/>
      <c r="B89" s="4"/>
      <c r="C89" s="3">
        <f t="shared" si="3"/>
        <v>86</v>
      </c>
      <c r="D89" s="3">
        <f t="shared" si="9"/>
        <v>86</v>
      </c>
      <c r="E89" s="3">
        <f t="shared" si="10"/>
        <v>172</v>
      </c>
      <c r="F89" s="3" t="str">
        <f t="shared" si="11"/>
        <v>00AC</v>
      </c>
      <c r="G89" s="3" t="str">
        <f t="shared" si="12"/>
        <v>010101100</v>
      </c>
      <c r="H89" s="4"/>
      <c r="I89" s="3" t="s">
        <v>12</v>
      </c>
      <c r="J89" s="3" t="s">
        <v>14</v>
      </c>
      <c r="K89" s="3" t="s">
        <v>15</v>
      </c>
    </row>
    <row r="90" spans="1:11" x14ac:dyDescent="0.25">
      <c r="A90" s="7"/>
      <c r="B90" s="4"/>
      <c r="C90" s="3">
        <f t="shared" si="3"/>
        <v>87</v>
      </c>
      <c r="D90" s="3">
        <f t="shared" si="9"/>
        <v>87</v>
      </c>
      <c r="E90" s="3">
        <f t="shared" si="10"/>
        <v>174</v>
      </c>
      <c r="F90" s="3" t="str">
        <f t="shared" si="11"/>
        <v>00AE</v>
      </c>
      <c r="G90" s="3" t="str">
        <f t="shared" si="12"/>
        <v>010101110</v>
      </c>
      <c r="H90" s="4"/>
      <c r="I90" s="3" t="s">
        <v>12</v>
      </c>
      <c r="J90" s="3" t="s">
        <v>14</v>
      </c>
      <c r="K90" s="3" t="s">
        <v>15</v>
      </c>
    </row>
    <row r="91" spans="1:11" x14ac:dyDescent="0.25">
      <c r="A91" s="7"/>
      <c r="B91" s="4"/>
      <c r="C91" s="3">
        <f t="shared" si="3"/>
        <v>88</v>
      </c>
      <c r="D91" s="3">
        <f t="shared" si="9"/>
        <v>88</v>
      </c>
      <c r="E91" s="3">
        <f t="shared" si="10"/>
        <v>176</v>
      </c>
      <c r="F91" s="3" t="str">
        <f t="shared" si="11"/>
        <v>00B0</v>
      </c>
      <c r="G91" s="3" t="str">
        <f t="shared" si="12"/>
        <v>010110000</v>
      </c>
      <c r="H91" s="4"/>
      <c r="I91" s="3" t="s">
        <v>12</v>
      </c>
      <c r="J91" s="3" t="s">
        <v>14</v>
      </c>
      <c r="K91" s="3" t="s">
        <v>15</v>
      </c>
    </row>
    <row r="92" spans="1:11" x14ac:dyDescent="0.25">
      <c r="A92" s="7"/>
      <c r="B92" s="4"/>
      <c r="C92" s="3">
        <f t="shared" si="3"/>
        <v>89</v>
      </c>
      <c r="D92" s="3">
        <f t="shared" si="9"/>
        <v>89</v>
      </c>
      <c r="E92" s="3">
        <f t="shared" si="10"/>
        <v>178</v>
      </c>
      <c r="F92" s="3" t="str">
        <f t="shared" si="11"/>
        <v>00B2</v>
      </c>
      <c r="G92" s="3" t="str">
        <f t="shared" si="12"/>
        <v>010110010</v>
      </c>
      <c r="H92" s="4"/>
      <c r="I92" s="3" t="s">
        <v>12</v>
      </c>
      <c r="J92" s="3" t="s">
        <v>14</v>
      </c>
      <c r="K92" s="3" t="s">
        <v>15</v>
      </c>
    </row>
    <row r="93" spans="1:11" x14ac:dyDescent="0.25">
      <c r="A93" s="7"/>
      <c r="B93" s="4"/>
      <c r="C93" s="3">
        <f t="shared" si="3"/>
        <v>90</v>
      </c>
      <c r="D93" s="3">
        <f t="shared" si="9"/>
        <v>90</v>
      </c>
      <c r="E93" s="3">
        <f t="shared" si="10"/>
        <v>180</v>
      </c>
      <c r="F93" s="3" t="str">
        <f t="shared" si="11"/>
        <v>00B4</v>
      </c>
      <c r="G93" s="3" t="str">
        <f t="shared" si="12"/>
        <v>010110100</v>
      </c>
      <c r="H93" s="4"/>
      <c r="I93" s="3" t="s">
        <v>12</v>
      </c>
      <c r="J93" s="3" t="s">
        <v>14</v>
      </c>
      <c r="K93" s="3" t="s">
        <v>15</v>
      </c>
    </row>
    <row r="94" spans="1:11" x14ac:dyDescent="0.25">
      <c r="A94" s="7"/>
      <c r="B94" s="4"/>
      <c r="C94" s="3">
        <f t="shared" si="3"/>
        <v>91</v>
      </c>
      <c r="D94" s="3">
        <f t="shared" si="9"/>
        <v>91</v>
      </c>
      <c r="E94" s="3">
        <f t="shared" si="10"/>
        <v>182</v>
      </c>
      <c r="F94" s="3" t="str">
        <f t="shared" si="11"/>
        <v>00B6</v>
      </c>
      <c r="G94" s="3" t="str">
        <f t="shared" si="12"/>
        <v>010110110</v>
      </c>
      <c r="H94" s="4"/>
      <c r="I94" s="3" t="s">
        <v>12</v>
      </c>
      <c r="J94" s="3" t="s">
        <v>14</v>
      </c>
      <c r="K94" s="3" t="s">
        <v>15</v>
      </c>
    </row>
    <row r="95" spans="1:11" x14ac:dyDescent="0.25">
      <c r="A95" s="7"/>
      <c r="B95" s="4"/>
      <c r="C95" s="3">
        <f t="shared" si="3"/>
        <v>92</v>
      </c>
      <c r="D95" s="3">
        <f t="shared" si="9"/>
        <v>92</v>
      </c>
      <c r="E95" s="3">
        <f t="shared" si="10"/>
        <v>184</v>
      </c>
      <c r="F95" s="3" t="str">
        <f t="shared" si="11"/>
        <v>00B8</v>
      </c>
      <c r="G95" s="3" t="str">
        <f t="shared" si="12"/>
        <v>010111000</v>
      </c>
      <c r="H95" s="4"/>
      <c r="I95" s="3" t="s">
        <v>12</v>
      </c>
      <c r="J95" s="3" t="s">
        <v>14</v>
      </c>
      <c r="K95" s="3" t="s">
        <v>15</v>
      </c>
    </row>
    <row r="96" spans="1:11" x14ac:dyDescent="0.25">
      <c r="A96" s="7"/>
      <c r="B96" s="4"/>
      <c r="C96" s="3">
        <f t="shared" si="3"/>
        <v>93</v>
      </c>
      <c r="D96" s="3">
        <f t="shared" si="9"/>
        <v>93</v>
      </c>
      <c r="E96" s="3">
        <f t="shared" si="10"/>
        <v>186</v>
      </c>
      <c r="F96" s="3" t="str">
        <f t="shared" si="11"/>
        <v>00BA</v>
      </c>
      <c r="G96" s="3" t="str">
        <f t="shared" si="12"/>
        <v>010111010</v>
      </c>
      <c r="H96" s="4"/>
      <c r="I96" s="3" t="s">
        <v>12</v>
      </c>
      <c r="J96" s="3" t="s">
        <v>14</v>
      </c>
      <c r="K96" s="3" t="s">
        <v>15</v>
      </c>
    </row>
    <row r="97" spans="1:11" x14ac:dyDescent="0.25">
      <c r="A97" s="7"/>
      <c r="B97" s="4"/>
      <c r="C97" s="3">
        <f t="shared" si="3"/>
        <v>94</v>
      </c>
      <c r="D97" s="3">
        <f t="shared" si="9"/>
        <v>94</v>
      </c>
      <c r="E97" s="3">
        <f t="shared" si="10"/>
        <v>188</v>
      </c>
      <c r="F97" s="3" t="str">
        <f t="shared" si="11"/>
        <v>00BC</v>
      </c>
      <c r="G97" s="3" t="str">
        <f t="shared" si="12"/>
        <v>010111100</v>
      </c>
      <c r="H97" s="4"/>
      <c r="I97" s="3" t="s">
        <v>12</v>
      </c>
      <c r="J97" s="3" t="s">
        <v>14</v>
      </c>
      <c r="K97" s="3" t="s">
        <v>15</v>
      </c>
    </row>
    <row r="98" spans="1:11" x14ac:dyDescent="0.25">
      <c r="A98" s="7"/>
      <c r="B98" s="4"/>
      <c r="C98" s="3">
        <f t="shared" si="3"/>
        <v>95</v>
      </c>
      <c r="D98" s="3">
        <f t="shared" si="9"/>
        <v>95</v>
      </c>
      <c r="E98" s="3">
        <f t="shared" si="10"/>
        <v>190</v>
      </c>
      <c r="F98" s="3" t="str">
        <f t="shared" si="11"/>
        <v>00BE</v>
      </c>
      <c r="G98" s="3" t="str">
        <f t="shared" si="12"/>
        <v>010111110</v>
      </c>
      <c r="H98" s="4"/>
      <c r="I98" s="3" t="s">
        <v>12</v>
      </c>
      <c r="J98" s="3" t="s">
        <v>14</v>
      </c>
      <c r="K98" s="3" t="s">
        <v>15</v>
      </c>
    </row>
    <row r="99" spans="1:11" x14ac:dyDescent="0.25">
      <c r="A99" s="7"/>
      <c r="B99" s="4"/>
      <c r="C99" s="3">
        <f t="shared" ref="C99:C105" si="13">C98+1</f>
        <v>96</v>
      </c>
      <c r="D99" s="3">
        <f t="shared" ref="D99:D108" si="14">E99/2</f>
        <v>96</v>
      </c>
      <c r="E99" s="3">
        <f t="shared" ref="E99:E105" si="15">IF((OR(J98="U16",J98="S16")),E98+2,E98+4)</f>
        <v>192</v>
      </c>
      <c r="F99" s="3" t="str">
        <f t="shared" ref="F99:F108" si="16">DEC2HEX(E99,4)</f>
        <v>00C0</v>
      </c>
      <c r="G99" s="3" t="str">
        <f t="shared" ref="G99:G105" si="17">DEC2BIN(E99,9)</f>
        <v>011000000</v>
      </c>
      <c r="H99" s="4"/>
      <c r="I99" s="3" t="s">
        <v>12</v>
      </c>
      <c r="J99" s="3" t="s">
        <v>14</v>
      </c>
      <c r="K99" s="3" t="s">
        <v>15</v>
      </c>
    </row>
    <row r="100" spans="1:11" x14ac:dyDescent="0.25">
      <c r="A100" s="7"/>
      <c r="B100" s="4"/>
      <c r="C100" s="3">
        <f t="shared" si="13"/>
        <v>97</v>
      </c>
      <c r="D100" s="3">
        <f t="shared" si="14"/>
        <v>97</v>
      </c>
      <c r="E100" s="3">
        <f t="shared" si="15"/>
        <v>194</v>
      </c>
      <c r="F100" s="3" t="str">
        <f t="shared" si="16"/>
        <v>00C2</v>
      </c>
      <c r="G100" s="3" t="str">
        <f t="shared" si="17"/>
        <v>011000010</v>
      </c>
      <c r="H100" s="4"/>
      <c r="I100" s="3" t="s">
        <v>12</v>
      </c>
      <c r="J100" s="3" t="s">
        <v>14</v>
      </c>
      <c r="K100" s="3" t="s">
        <v>15</v>
      </c>
    </row>
    <row r="101" spans="1:11" x14ac:dyDescent="0.25">
      <c r="A101" s="7"/>
      <c r="B101" s="4"/>
      <c r="C101" s="3">
        <f t="shared" si="13"/>
        <v>98</v>
      </c>
      <c r="D101" s="3">
        <f t="shared" si="14"/>
        <v>98</v>
      </c>
      <c r="E101" s="3">
        <f t="shared" si="15"/>
        <v>196</v>
      </c>
      <c r="F101" s="3" t="str">
        <f t="shared" si="16"/>
        <v>00C4</v>
      </c>
      <c r="G101" s="3" t="str">
        <f t="shared" si="17"/>
        <v>011000100</v>
      </c>
      <c r="H101" s="4"/>
      <c r="I101" s="3" t="s">
        <v>13</v>
      </c>
      <c r="J101" s="3" t="s">
        <v>14</v>
      </c>
      <c r="K101" s="3" t="s">
        <v>15</v>
      </c>
    </row>
    <row r="102" spans="1:11" x14ac:dyDescent="0.25">
      <c r="A102" s="7"/>
      <c r="B102" s="4"/>
      <c r="C102" s="3">
        <f t="shared" si="13"/>
        <v>99</v>
      </c>
      <c r="D102" s="3">
        <f t="shared" si="14"/>
        <v>99</v>
      </c>
      <c r="E102" s="3">
        <f t="shared" si="15"/>
        <v>198</v>
      </c>
      <c r="F102" s="3" t="str">
        <f t="shared" si="16"/>
        <v>00C6</v>
      </c>
      <c r="G102" s="3" t="str">
        <f t="shared" si="17"/>
        <v>011000110</v>
      </c>
      <c r="H102" s="4"/>
      <c r="I102" s="3" t="s">
        <v>12</v>
      </c>
      <c r="J102" s="3" t="s">
        <v>10</v>
      </c>
      <c r="K102" s="3" t="s">
        <v>15</v>
      </c>
    </row>
    <row r="103" spans="1:11" x14ac:dyDescent="0.25">
      <c r="A103" s="7"/>
      <c r="B103" s="4"/>
      <c r="C103" s="3">
        <f t="shared" si="13"/>
        <v>100</v>
      </c>
      <c r="D103" s="3">
        <f t="shared" si="14"/>
        <v>100</v>
      </c>
      <c r="E103" s="3">
        <f t="shared" si="15"/>
        <v>200</v>
      </c>
      <c r="F103" s="3" t="str">
        <f t="shared" si="16"/>
        <v>00C8</v>
      </c>
      <c r="G103" s="3" t="str">
        <f t="shared" si="17"/>
        <v>011001000</v>
      </c>
      <c r="H103" s="4"/>
      <c r="I103" s="3" t="s">
        <v>12</v>
      </c>
      <c r="J103" s="3" t="s">
        <v>10</v>
      </c>
      <c r="K103" s="3" t="s">
        <v>15</v>
      </c>
    </row>
    <row r="104" spans="1:11" x14ac:dyDescent="0.25">
      <c r="A104" s="7"/>
      <c r="B104" s="4"/>
      <c r="C104" s="3">
        <f t="shared" si="13"/>
        <v>101</v>
      </c>
      <c r="D104" s="3">
        <f t="shared" si="14"/>
        <v>101</v>
      </c>
      <c r="E104" s="3">
        <f t="shared" si="15"/>
        <v>202</v>
      </c>
      <c r="F104" s="3" t="str">
        <f t="shared" si="16"/>
        <v>00CA</v>
      </c>
      <c r="G104" s="3" t="str">
        <f t="shared" si="17"/>
        <v>011001010</v>
      </c>
      <c r="H104" s="4"/>
      <c r="I104" s="3" t="s">
        <v>12</v>
      </c>
      <c r="J104" s="3" t="s">
        <v>10</v>
      </c>
      <c r="K104" s="3" t="s">
        <v>15</v>
      </c>
    </row>
    <row r="105" spans="1:11" x14ac:dyDescent="0.25">
      <c r="A105" s="7"/>
      <c r="B105" s="4"/>
      <c r="C105" s="3">
        <f t="shared" si="13"/>
        <v>102</v>
      </c>
      <c r="D105" s="3">
        <f t="shared" si="14"/>
        <v>102</v>
      </c>
      <c r="E105" s="3">
        <f t="shared" si="15"/>
        <v>204</v>
      </c>
      <c r="F105" s="3" t="str">
        <f t="shared" si="16"/>
        <v>00CC</v>
      </c>
      <c r="G105" s="3" t="str">
        <f t="shared" si="17"/>
        <v>011001100</v>
      </c>
      <c r="H105" s="4"/>
      <c r="I105" s="3" t="s">
        <v>12</v>
      </c>
      <c r="J105" s="3" t="s">
        <v>10</v>
      </c>
      <c r="K105" s="3" t="s">
        <v>15</v>
      </c>
    </row>
    <row r="106" spans="1:11" x14ac:dyDescent="0.25">
      <c r="A106" s="7"/>
      <c r="B106" s="4"/>
      <c r="C106" s="3">
        <f t="shared" ref="C106:C108" si="18">C105+1</f>
        <v>103</v>
      </c>
      <c r="D106" s="3">
        <f t="shared" si="14"/>
        <v>103</v>
      </c>
      <c r="E106" s="3">
        <f t="shared" ref="E106:E108" si="19">IF((OR(J105="U16",J105="S16")),E105+2,E105+4)</f>
        <v>206</v>
      </c>
      <c r="F106" s="3" t="str">
        <f t="shared" si="16"/>
        <v>00CE</v>
      </c>
      <c r="G106" s="3" t="str">
        <f t="shared" ref="G106:G108" si="20">DEC2BIN(E106,9)</f>
        <v>011001110</v>
      </c>
      <c r="H106" s="4"/>
      <c r="I106" s="3" t="s">
        <v>12</v>
      </c>
      <c r="J106" s="3" t="s">
        <v>14</v>
      </c>
      <c r="K106" s="3" t="s">
        <v>15</v>
      </c>
    </row>
    <row r="107" spans="1:11" x14ac:dyDescent="0.25">
      <c r="A107" s="7"/>
      <c r="B107" s="4"/>
      <c r="C107" s="3">
        <f t="shared" si="18"/>
        <v>104</v>
      </c>
      <c r="D107" s="3">
        <f t="shared" si="14"/>
        <v>104</v>
      </c>
      <c r="E107" s="3">
        <f t="shared" si="19"/>
        <v>208</v>
      </c>
      <c r="F107" s="3" t="str">
        <f t="shared" si="16"/>
        <v>00D0</v>
      </c>
      <c r="G107" s="3" t="str">
        <f t="shared" si="20"/>
        <v>011010000</v>
      </c>
      <c r="H107" s="4"/>
      <c r="I107" s="3" t="s">
        <v>12</v>
      </c>
      <c r="J107" s="3" t="s">
        <v>14</v>
      </c>
      <c r="K107" s="3" t="s">
        <v>15</v>
      </c>
    </row>
    <row r="108" spans="1:11" x14ac:dyDescent="0.25">
      <c r="A108" s="7"/>
      <c r="B108" s="4"/>
      <c r="C108" s="3">
        <f t="shared" si="18"/>
        <v>105</v>
      </c>
      <c r="D108" s="3">
        <f t="shared" si="14"/>
        <v>105</v>
      </c>
      <c r="E108" s="3">
        <f t="shared" si="19"/>
        <v>210</v>
      </c>
      <c r="F108" s="3" t="str">
        <f t="shared" si="16"/>
        <v>00D2</v>
      </c>
      <c r="G108" s="3" t="str">
        <f t="shared" si="20"/>
        <v>011010010</v>
      </c>
      <c r="H108" s="4"/>
      <c r="I108" s="3" t="s">
        <v>13</v>
      </c>
      <c r="J108" s="3" t="s">
        <v>10</v>
      </c>
      <c r="K108" s="3" t="s">
        <v>11</v>
      </c>
    </row>
  </sheetData>
  <mergeCells count="1">
    <mergeCell ref="E1:G1"/>
  </mergeCells>
  <pageMargins left="0.7" right="0.7" top="0.75" bottom="0.75" header="0.3" footer="0.3"/>
  <pageSetup scale="9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6"/>
  <sheetViews>
    <sheetView workbookViewId="0"/>
  </sheetViews>
  <sheetFormatPr defaultRowHeight="15" x14ac:dyDescent="0.25"/>
  <cols>
    <col min="1" max="1" width="80.5703125" bestFit="1" customWidth="1"/>
  </cols>
  <sheetData>
    <row r="1" spans="1:1" x14ac:dyDescent="0.25">
      <c r="A1" t="str">
        <f>CONCATENATE("{ """,Table!A3,""",",IF(LEN(Table!A3)=0,"   ",IF(LEN(Table!A3)=1,"  "," ")),"""",Table!B3,""",",IF(LEN(Table!B3)=0,"       ",IF(LEN(Table!B3)=1,"      ",IF(LEN(Table!B3)=2,"     ",IF(LEN(Table!B3)=3,"    ",IF(LEN(Table!B3)=4,"   ",IF(LEN(Table!B3)=5,"  "," ")))))),"0x",Table!F3,", ",Table!J3,",",IF(OR((Table!J3="U16"),(Table!J3="S16")),"  "," "),Table!I3,", ",Table!K3,IF(Table!C3&lt;10,", ""  ",IF(Table!C3&lt;100,", "" ",", """)),Table!C3," ",Table!H3,""" },")</f>
        <v>{ "HTR", "CNTLMD", 0x0000, U16,  RW, CSX, "  0 Auto Manual Mode Select" },</v>
      </c>
    </row>
    <row r="2" spans="1:1" x14ac:dyDescent="0.25">
      <c r="A2" t="str">
        <f>CONCATENATE("{ """,Table!A4,""",",IF(LEN(Table!A4)=0,"   ",IF(LEN(Table!A4)=1,"  "," ")),"""",Table!B4,""",",IF(LEN(Table!B4)=0,"       ",IF(LEN(Table!B4)=1,"      ",IF(LEN(Table!B4)=2,"     ",IF(LEN(Table!B4)=3,"    ",IF(LEN(Table!B4)=4,"   ",IF(LEN(Table!B4)=5,"  "," ")))))),"0x",Table!F4,", ",Table!J4,",",IF(OR((Table!J4="U16"),(Table!J4="S16")),"  "," "),Table!I4,", ",Table!K4,IF(Table!C4&lt;10,", ""  ",IF(Table!C4&lt;100,", "" ",", """)),Table!C4," ",Table!H4,""" },")</f>
        <v>{ "HTR", "LCLPWR", 0x0002, U16,  RW, CSX, "  1 Local Heat Setpoint" },</v>
      </c>
    </row>
    <row r="3" spans="1:1" x14ac:dyDescent="0.25">
      <c r="A3" t="str">
        <f>CONCATENATE("{ """,Table!A5,""",",IF(LEN(Table!A5)=0,"   ",IF(LEN(Table!A5)=1,"  "," ")),"""",Table!B5,""",",IF(LEN(Table!B5)=0,"       ",IF(LEN(Table!B5)=1,"      ",IF(LEN(Table!B5)=2,"     ",IF(LEN(Table!B5)=3,"    ",IF(LEN(Table!B5)=4,"   ",IF(LEN(Table!B5)=5,"  "," ")))))),"0x",Table!F5,", ",Table!J5,",",IF(OR((Table!J5="U16"),(Table!J5="S16")),"  "," "),Table!I5,", ",Table!K5,IF(Table!C5&lt;10,", ""  ",IF(Table!C5&lt;100,", "" ",", """)),Table!C5," ",Table!H5,""" },")</f>
        <v>{ "HTR", "IRB",    0x0004, U16,  RO, CSX, "  2 Current Readback" },</v>
      </c>
    </row>
    <row r="4" spans="1:1" x14ac:dyDescent="0.25">
      <c r="A4" t="str">
        <f>CONCATENATE("{ """,Table!A6,""",",IF(LEN(Table!A6)=0,"   ",IF(LEN(Table!A6)=1,"  "," ")),"""",Table!B6,""",",IF(LEN(Table!B6)=0,"       ",IF(LEN(Table!B6)=1,"      ",IF(LEN(Table!B6)=2,"     ",IF(LEN(Table!B6)=3,"    ",IF(LEN(Table!B6)=4,"   ",IF(LEN(Table!B6)=5,"  "," ")))))),"0x",Table!F6,", ",Table!J6,",",IF(OR((Table!J6="U16"),(Table!J6="S16")),"  "," "),Table!I6,", ",Table!K6,IF(Table!C6&lt;10,", ""  ",IF(Table!C6&lt;100,", "" ",", """)),Table!C6," ",Table!H6,""" },")</f>
        <v>{ "HTR", "VRB",    0x0006, U16,  RO, CSX, "  3 Voltage Readback" },</v>
      </c>
    </row>
    <row r="5" spans="1:1" x14ac:dyDescent="0.25">
      <c r="A5" t="str">
        <f>CONCATENATE("{ """,Table!A7,""",",IF(LEN(Table!A7)=0,"   ",IF(LEN(Table!A7)=1,"  "," ")),"""",Table!B7,""",",IF(LEN(Table!B7)=0,"       ",IF(LEN(Table!B7)=1,"      ",IF(LEN(Table!B7)=2,"     ",IF(LEN(Table!B7)=3,"    ",IF(LEN(Table!B7)=4,"   ",IF(LEN(Table!B7)=5,"  "," ")))))),"0x",Table!F7,", ",Table!J7,",",IF(OR((Table!J7="U16"),(Table!J7="S16")),"  "," "),Table!I7,", ",Table!K7,IF(Table!C7&lt;10,", ""  ",IF(Table!C7&lt;100,", "" ",", """)),Table!C7," ",Table!H7,""" },")</f>
        <v>{ "HTR", "FVER",   0x0008, U16,  RO, CSX, "  4 Firmware Version" },</v>
      </c>
    </row>
    <row r="6" spans="1:1" x14ac:dyDescent="0.25">
      <c r="A6" t="str">
        <f>CONCATENATE("{ """,Table!A8,""",",IF(LEN(Table!A8)=0,"   ",IF(LEN(Table!A8)=1,"  "," ")),"""",Table!B8,""",",IF(LEN(Table!B8)=0,"       ",IF(LEN(Table!B8)=1,"      ",IF(LEN(Table!B8)=2,"     ",IF(LEN(Table!B8)=3,"    ",IF(LEN(Table!B8)=4,"   ",IF(LEN(Table!B8)=5,"  "," ")))))),"0x",Table!F8,", ",Table!J8,",",IF(OR((Table!J8="U16"),(Table!J8="S16")),"  "," "),Table!I8,", ",Table!K8,IF(Table!C8&lt;10,", ""  ",IF(Table!C8&lt;100,", "" ",", """)),Table!C8," ",Table!H8,""" },")</f>
        <v>{ "HTR", "HVER",   0x000A, U16,  RO, CSX, "  5 HRT Version" },</v>
      </c>
    </row>
    <row r="7" spans="1:1" x14ac:dyDescent="0.25">
      <c r="A7" t="str">
        <f>CONCATENATE("{ """,Table!A9,""",",IF(LEN(Table!A9)=0,"   ",IF(LEN(Table!A9)=1,"  "," ")),"""",Table!B9,""",",IF(LEN(Table!B9)=0,"       ",IF(LEN(Table!B9)=1,"      ",IF(LEN(Table!B9)=2,"     ",IF(LEN(Table!B9)=3,"    ",IF(LEN(Table!B9)=4,"   ",IF(LEN(Table!B9)=5,"  "," ")))))),"0x",Table!F9,", ",Table!J9,",",IF(OR((Table!J9="U16"),(Table!J9="S16")),"  "," "),Table!I9,", ",Table!K9,IF(Table!C9&lt;10,", ""  ",IF(Table!C9&lt;100,", "" ",", """)),Table!C9," ",Table!H9,""" },")</f>
        <v>{ "HTR", "DAC",    0x000C, U16,  RW, CSX, "  6 DAC Setpoint" },</v>
      </c>
    </row>
    <row r="8" spans="1:1" x14ac:dyDescent="0.25">
      <c r="A8" t="str">
        <f>CONCATENATE("{ """,Table!A10,""",",IF(LEN(Table!A10)=0,"   ",IF(LEN(Table!A10)=1,"  "," ")),"""",Table!B10,""",",IF(LEN(Table!B10)=0,"       ",IF(LEN(Table!B10)=1,"      ",IF(LEN(Table!B10)=2,"     ",IF(LEN(Table!B10)=3,"    ",IF(LEN(Table!B10)=4,"   ",IF(LEN(Table!B10)=5,"  "," ")))))),"0x",Table!F10,", ",Table!J10,",",IF(OR((Table!J10="U16"),(Table!J10="S16")),"  "," "),Table!I10,", ",Table!K10,IF(Table!C10&lt;10,", ""  ",IF(Table!C10&lt;100,", "" ",", """)),Table!C10," ",Table!H10,""" },")</f>
        <v>{ "HTR", "RSTR",   0x000E, U16,  RW, CSX, "  7 Restore Status" },</v>
      </c>
    </row>
    <row r="9" spans="1:1" x14ac:dyDescent="0.25">
      <c r="A9" t="str">
        <f>CONCATENATE("{ """,Table!A11,""",",IF(LEN(Table!A11)=0,"   ",IF(LEN(Table!A11)=1,"  "," ")),"""",Table!B11,""",",IF(LEN(Table!B11)=0,"       ",IF(LEN(Table!B11)=1,"      ",IF(LEN(Table!B11)=2,"     ",IF(LEN(Table!B11)=3,"    ",IF(LEN(Table!B11)=4,"   ",IF(LEN(Table!B11)=5,"  "," ")))))),"0x",Table!F11,", ",Table!J11,",",IF(OR((Table!J11="U16"),(Table!J11="S16")),"  "," "),Table!I11,", ",Table!K11,IF(Table!C11&lt;10,", ""  ",IF(Table!C11&lt;100,", "" ",", """)),Table!C11," ",Table!H11,""" },")</f>
        <v>{ "HTR", "HB",     0x0010, U16,  RO, CSX, "  8 Heartbeat " },</v>
      </c>
    </row>
    <row r="10" spans="1:1" x14ac:dyDescent="0.25">
      <c r="A10" t="str">
        <f>CONCATENATE("{ """,Table!A12,""",",IF(LEN(Table!A12)=0,"   ",IF(LEN(Table!A12)=1,"  "," ")),"""",Table!B12,""",",IF(LEN(Table!B12)=0,"       ",IF(LEN(Table!B12)=1,"      ",IF(LEN(Table!B12)=2,"     ",IF(LEN(Table!B12)=3,"    ",IF(LEN(Table!B12)=4,"   ",IF(LEN(Table!B12)=5,"  "," ")))))),"0x",Table!F12,", ",Table!J12,",",IF(OR((Table!J12="U16"),(Table!J12="S16")),"  "," "),Table!I12,", ",Table!K12,IF(Table!C12&lt;10,", ""  ",IF(Table!C12&lt;100,", "" ",", """)),Table!C12," ",Table!H12,""" },")</f>
        <v>{ "",   "",       0x0012, S16,  RO, CSX, "  9 " },</v>
      </c>
    </row>
    <row r="11" spans="1:1" x14ac:dyDescent="0.25">
      <c r="A11" t="str">
        <f>CONCATENATE("{ """,Table!A13,""",",IF(LEN(Table!A13)=0,"   ",IF(LEN(Table!A13)=1,"  "," ")),"""",Table!B13,""",",IF(LEN(Table!B13)=0,"       ",IF(LEN(Table!B13)=1,"      ",IF(LEN(Table!B13)=2,"     ",IF(LEN(Table!B13)=3,"    ",IF(LEN(Table!B13)=4,"   ",IF(LEN(Table!B13)=5,"  "," ")))))),"0x",Table!F13,", ",Table!J13,",",IF(OR((Table!J13="U16"),(Table!J13="S16")),"  "," "),Table!I13,", ",Table!K13,IF(Table!C13&lt;10,", ""  ",IF(Table!C13&lt;100,", "" ",", """)),Table!C13," ",Table!H13,""" },")</f>
        <v>{ "",   "",       0x0014, S16,  RO, CSX, " 10 " },</v>
      </c>
    </row>
    <row r="12" spans="1:1" x14ac:dyDescent="0.25">
      <c r="A12" t="str">
        <f>CONCATENATE("{ """,Table!A14,""",",IF(LEN(Table!A14)=0,"   ",IF(LEN(Table!A14)=1,"  "," ")),"""",Table!B14,""",",IF(LEN(Table!B14)=0,"       ",IF(LEN(Table!B14)=1,"      ",IF(LEN(Table!B14)=2,"     ",IF(LEN(Table!B14)=3,"    ",IF(LEN(Table!B14)=4,"   ",IF(LEN(Table!B14)=5,"  "," ")))))),"0x",Table!F14,", ",Table!J14,",",IF(OR((Table!J14="U16"),(Table!J14="S16")),"  "," "),Table!I14,", ",Table!K14,IF(Table!C14&lt;10,", ""  ",IF(Table!C14&lt;100,", "" ",", """)),Table!C14," ",Table!H14,""" },")</f>
        <v>{ "",   "",       0x0016, S16,  RO, CSX, " 11 " },</v>
      </c>
    </row>
    <row r="13" spans="1:1" x14ac:dyDescent="0.25">
      <c r="A13" t="str">
        <f>CONCATENATE("{ """,Table!A15,""",",IF(LEN(Table!A15)=0,"   ",IF(LEN(Table!A15)=1,"  "," ")),"""",Table!B15,""",",IF(LEN(Table!B15)=0,"       ",IF(LEN(Table!B15)=1,"      ",IF(LEN(Table!B15)=2,"     ",IF(LEN(Table!B15)=3,"    ",IF(LEN(Table!B15)=4,"   ",IF(LEN(Table!B15)=5,"  "," ")))))),"0x",Table!F15,", ",Table!J15,",",IF(OR((Table!J15="U16"),(Table!J15="S16")),"  "," "),Table!I15,", ",Table!K15,IF(Table!C15&lt;10,", ""  ",IF(Table!C15&lt;100,", "" ",", """)),Table!C15," ",Table!H15,""" },")</f>
        <v>{ "",   "",       0x0018, S16,  RO, CSX, " 12 " },</v>
      </c>
    </row>
    <row r="14" spans="1:1" x14ac:dyDescent="0.25">
      <c r="A14" t="str">
        <f>CONCATENATE("{ """,Table!A16,""",",IF(LEN(Table!A16)=0,"   ",IF(LEN(Table!A16)=1,"  "," ")),"""",Table!B16,""",",IF(LEN(Table!B16)=0,"       ",IF(LEN(Table!B16)=1,"      ",IF(LEN(Table!B16)=2,"     ",IF(LEN(Table!B16)=3,"    ",IF(LEN(Table!B16)=4,"   ",IF(LEN(Table!B16)=5,"  "," ")))))),"0x",Table!F16,", ",Table!J16,",",IF(OR((Table!J16="U16"),(Table!J16="S16")),"  "," "),Table!I16,", ",Table!K16,IF(Table!C16&lt;10,", ""  ",IF(Table!C16&lt;100,", "" ",", """)),Table!C16," ",Table!H16,""" },")</f>
        <v>{ "",   "",       0x001A, S16,  RO, CSX, " 13 " },</v>
      </c>
    </row>
    <row r="15" spans="1:1" x14ac:dyDescent="0.25">
      <c r="A15" t="str">
        <f>CONCATENATE("{ """,Table!A17,""",",IF(LEN(Table!A17)=0,"   ",IF(LEN(Table!A17)=1,"  "," ")),"""",Table!B17,""",",IF(LEN(Table!B17)=0,"       ",IF(LEN(Table!B17)=1,"      ",IF(LEN(Table!B17)=2,"     ",IF(LEN(Table!B17)=3,"    ",IF(LEN(Table!B17)=4,"   ",IF(LEN(Table!B17)=5,"  "," ")))))),"0x",Table!F17,", ",Table!J17,",",IF(OR((Table!J17="U16"),(Table!J17="S16")),"  "," "),Table!I17,", ",Table!K17,IF(Table!C17&lt;10,", ""  ",IF(Table!C17&lt;100,", "" ",", """)),Table!C17," ",Table!H17,""" },")</f>
        <v>{ "",   "",       0x001C, S16,  RO, CSX, " 14 " },</v>
      </c>
    </row>
    <row r="16" spans="1:1" x14ac:dyDescent="0.25">
      <c r="A16" t="str">
        <f>CONCATENATE("{ """,Table!A18,""",",IF(LEN(Table!A18)=0,"   ",IF(LEN(Table!A18)=1,"  "," ")),"""",Table!B18,""",",IF(LEN(Table!B18)=0,"       ",IF(LEN(Table!B18)=1,"      ",IF(LEN(Table!B18)=2,"     ",IF(LEN(Table!B18)=3,"    ",IF(LEN(Table!B18)=4,"   ",IF(LEN(Table!B18)=5,"  "," ")))))),"0x",Table!F18,", ",Table!J18,",",IF(OR((Table!J18="U16"),(Table!J18="S16")),"  "," "),Table!I18,", ",Table!K18,IF(Table!C18&lt;10,", ""  ",IF(Table!C18&lt;100,", "" ",", """)),Table!C18," ",Table!H18,""" },")</f>
        <v>{ "",   "",       0x001E, S16,  RO, CSX, " 15 " },</v>
      </c>
    </row>
    <row r="17" spans="1:1" x14ac:dyDescent="0.25">
      <c r="A17" t="str">
        <f>CONCATENATE("{ """,Table!A19,""",",IF(LEN(Table!A19)=0,"   ",IF(LEN(Table!A19)=1,"  "," ")),"""",Table!B19,""",",IF(LEN(Table!B19)=0,"       ",IF(LEN(Table!B19)=1,"      ",IF(LEN(Table!B19)=2,"     ",IF(LEN(Table!B19)=3,"    ",IF(LEN(Table!B19)=4,"   ",IF(LEN(Table!B19)=5,"  "," ")))))),"0x",Table!F19,", ",Table!J19,",",IF(OR((Table!J19="U16"),(Table!J19="S16")),"  "," "),Table!I19,", ",Table!K19,IF(Table!C19&lt;10,", ""  ",IF(Table!C19&lt;100,", "" ",", """)),Table!C19," ",Table!H19,""" },")</f>
        <v>{ "",   "",       0x0020, S16,  RO, CSX, " 16 " },</v>
      </c>
    </row>
    <row r="18" spans="1:1" x14ac:dyDescent="0.25">
      <c r="A18" t="str">
        <f>CONCATENATE("{ """,Table!A20,""",",IF(LEN(Table!A20)=0,"   ",IF(LEN(Table!A20)=1,"  "," ")),"""",Table!B20,""",",IF(LEN(Table!B20)=0,"       ",IF(LEN(Table!B20)=1,"      ",IF(LEN(Table!B20)=2,"     ",IF(LEN(Table!B20)=3,"    ",IF(LEN(Table!B20)=4,"   ",IF(LEN(Table!B20)=5,"  "," ")))))),"0x",Table!F20,", ",Table!J20,",",IF(OR((Table!J20="U16"),(Table!J20="S16")),"  "," "),Table!I20,", ",Table!K20,IF(Table!C20&lt;10,", ""  ",IF(Table!C20&lt;100,", "" ",", """)),Table!C20," ",Table!H20,""" },")</f>
        <v>{ "",   "",       0x0022, S16,  RO, CSX, " 17 " },</v>
      </c>
    </row>
    <row r="19" spans="1:1" x14ac:dyDescent="0.25">
      <c r="A19" t="str">
        <f>CONCATENATE("{ """,Table!A21,""",",IF(LEN(Table!A21)=0,"   ",IF(LEN(Table!A21)=1,"  "," ")),"""",Table!B21,""",",IF(LEN(Table!B21)=0,"       ",IF(LEN(Table!B21)=1,"      ",IF(LEN(Table!B21)=2,"     ",IF(LEN(Table!B21)=3,"    ",IF(LEN(Table!B21)=4,"   ",IF(LEN(Table!B21)=5,"  "," ")))))),"0x",Table!F21,", ",Table!J21,",",IF(OR((Table!J21="U16"),(Table!J21="S16")),"  "," "),Table!I21,", ",Table!K21,IF(Table!C21&lt;10,", ""  ",IF(Table!C21&lt;100,", "" ",", """)),Table!C21," ",Table!H21,""" },")</f>
        <v>{ "",   "",       0x0024, S16,  RO, CSX, " 18 " },</v>
      </c>
    </row>
    <row r="20" spans="1:1" x14ac:dyDescent="0.25">
      <c r="A20" t="str">
        <f>CONCATENATE("{ """,Table!A22,""",",IF(LEN(Table!A22)=0,"   ",IF(LEN(Table!A22)=1,"  "," ")),"""",Table!B22,""",",IF(LEN(Table!B22)=0,"       ",IF(LEN(Table!B22)=1,"      ",IF(LEN(Table!B22)=2,"     ",IF(LEN(Table!B22)=3,"    ",IF(LEN(Table!B22)=4,"   ",IF(LEN(Table!B22)=5,"  "," ")))))),"0x",Table!F22,", ",Table!J22,",",IF(OR((Table!J22="U16"),(Table!J22="S16")),"  "," "),Table!I22,", ",Table!K22,IF(Table!C22&lt;10,", ""  ",IF(Table!C22&lt;100,", "" ",", """)),Table!C22," ",Table!H22,""" },")</f>
        <v>{ "",   "",       0x0026, S16,  RO, CSX, " 19 " },</v>
      </c>
    </row>
    <row r="21" spans="1:1" x14ac:dyDescent="0.25">
      <c r="A21" t="str">
        <f>CONCATENATE("{ """,Table!A23,""",",IF(LEN(Table!A23)=0,"   ",IF(LEN(Table!A23)=1,"  "," ")),"""",Table!B23,""",",IF(LEN(Table!B23)=0,"       ",IF(LEN(Table!B23)=1,"      ",IF(LEN(Table!B23)=2,"     ",IF(LEN(Table!B23)=3,"    ",IF(LEN(Table!B23)=4,"   ",IF(LEN(Table!B23)=5,"  "," ")))))),"0x",Table!F23,", ",Table!J23,",",IF(OR((Table!J23="U16"),(Table!J23="S16")),"  "," "),Table!I23,", ",Table!K23,IF(Table!C23&lt;10,", ""  ",IF(Table!C23&lt;100,", "" ",", """)),Table!C23," ",Table!H23,""" },")</f>
        <v>{ "",   "",       0x0028, S16,  RO, CSX, " 20 " },</v>
      </c>
    </row>
    <row r="22" spans="1:1" x14ac:dyDescent="0.25">
      <c r="A22" t="str">
        <f>CONCATENATE("{ """,Table!A24,""",",IF(LEN(Table!A24)=0,"   ",IF(LEN(Table!A24)=1,"  "," ")),"""",Table!B24,""",",IF(LEN(Table!B24)=0,"       ",IF(LEN(Table!B24)=1,"      ",IF(LEN(Table!B24)=2,"     ",IF(LEN(Table!B24)=3,"    ",IF(LEN(Table!B24)=4,"   ",IF(LEN(Table!B24)=5,"  "," ")))))),"0x",Table!F24,", ",Table!J24,",",IF(OR((Table!J24="U16"),(Table!J24="S16")),"  "," "),Table!I24,", ",Table!K24,IF(Table!C24&lt;10,", ""  ",IF(Table!C24&lt;100,", "" ",", """)),Table!C24," ",Table!H24,""" },")</f>
        <v>{ "",   "",       0x002A, S16,  RO, CSX, " 21 " },</v>
      </c>
    </row>
    <row r="23" spans="1:1" x14ac:dyDescent="0.25">
      <c r="A23" t="str">
        <f>CONCATENATE("{ """,Table!A25,""",",IF(LEN(Table!A25)=0,"   ",IF(LEN(Table!A25)=1,"  "," ")),"""",Table!B25,""",",IF(LEN(Table!B25)=0,"       ",IF(LEN(Table!B25)=1,"      ",IF(LEN(Table!B25)=2,"     ",IF(LEN(Table!B25)=3,"    ",IF(LEN(Table!B25)=4,"   ",IF(LEN(Table!B25)=5,"  "," ")))))),"0x",Table!F25,", ",Table!J25,",",IF(OR((Table!J25="U16"),(Table!J25="S16")),"  "," "),Table!I25,", ",Table!K25,IF(Table!C25&lt;10,", ""  ",IF(Table!C25&lt;100,", "" ",", """)),Table!C25," ",Table!H25,""" },")</f>
        <v>{ "",   "",       0x002C, S16,  RO, CSX, " 22 " },</v>
      </c>
    </row>
    <row r="24" spans="1:1" x14ac:dyDescent="0.25">
      <c r="A24" t="str">
        <f>CONCATENATE("{ """,Table!A26,""",",IF(LEN(Table!A26)=0,"   ",IF(LEN(Table!A26)=1,"  "," ")),"""",Table!B26,""",",IF(LEN(Table!B26)=0,"       ",IF(LEN(Table!B26)=1,"      ",IF(LEN(Table!B26)=2,"     ",IF(LEN(Table!B26)=3,"    ",IF(LEN(Table!B26)=4,"   ",IF(LEN(Table!B26)=5,"  "," ")))))),"0x",Table!F26,", ",Table!J26,",",IF(OR((Table!J26="U16"),(Table!J26="S16")),"  "," "),Table!I26,", ",Table!K26,IF(Table!C26&lt;10,", ""  ",IF(Table!C26&lt;100,", "" ",", """)),Table!C26," ",Table!H26,""" },")</f>
        <v>{ "",   "",       0x002E, S16,  RO, CSX, " 23 " },</v>
      </c>
    </row>
    <row r="25" spans="1:1" x14ac:dyDescent="0.25">
      <c r="A25" t="str">
        <f>CONCATENATE("{ """,Table!A27,""",",IF(LEN(Table!A27)=0,"   ",IF(LEN(Table!A27)=1,"  "," ")),"""",Table!B27,""",",IF(LEN(Table!B27)=0,"       ",IF(LEN(Table!B27)=1,"      ",IF(LEN(Table!B27)=2,"     ",IF(LEN(Table!B27)=3,"    ",IF(LEN(Table!B27)=4,"   ",IF(LEN(Table!B27)=5,"  "," ")))))),"0x",Table!F27,", ",Table!J27,",",IF(OR((Table!J27="U16"),(Table!J27="S16")),"  "," "),Table!I27,", ",Table!K27,IF(Table!C27&lt;10,", ""  ",IF(Table!C27&lt;100,", "" ",", """)),Table!C27," ",Table!H27,""" },")</f>
        <v>{ "",   "",       0x0030, S16,  RO, CSX, " 24 " },</v>
      </c>
    </row>
    <row r="26" spans="1:1" x14ac:dyDescent="0.25">
      <c r="A26" t="str">
        <f>CONCATENATE("{ """,Table!A28,""",",IF(LEN(Table!A28)=0,"   ",IF(LEN(Table!A28)=1,"  "," ")),"""",Table!B28,""",",IF(LEN(Table!B28)=0,"       ",IF(LEN(Table!B28)=1,"      ",IF(LEN(Table!B28)=2,"     ",IF(LEN(Table!B28)=3,"    ",IF(LEN(Table!B28)=4,"   ",IF(LEN(Table!B28)=5,"  "," ")))))),"0x",Table!F28,", ",Table!J28,",",IF(OR((Table!J28="U16"),(Table!J28="S16")),"  "," "),Table!I28,", ",Table!K28,IF(Table!C28&lt;10,", ""  ",IF(Table!C28&lt;100,", "" ",", """)),Table!C28," ",Table!H28,""" },")</f>
        <v>{ "",   "",       0x0032, S16,  RO, CSX, " 25 " },</v>
      </c>
    </row>
    <row r="27" spans="1:1" x14ac:dyDescent="0.25">
      <c r="A27" t="str">
        <f>CONCATENATE("{ """,Table!A29,""",",IF(LEN(Table!A29)=0,"   ",IF(LEN(Table!A29)=1,"  "," ")),"""",Table!B29,""",",IF(LEN(Table!B29)=0,"       ",IF(LEN(Table!B29)=1,"      ",IF(LEN(Table!B29)=2,"     ",IF(LEN(Table!B29)=3,"    ",IF(LEN(Table!B29)=4,"   ",IF(LEN(Table!B29)=5,"  "," ")))))),"0x",Table!F29,", ",Table!J29,",",IF(OR((Table!J29="U16"),(Table!J29="S16")),"  "," "),Table!I29,", ",Table!K29,IF(Table!C29&lt;10,", ""  ",IF(Table!C29&lt;100,", "" ",", """)),Table!C29," ",Table!H29,""" },")</f>
        <v>{ "",   "",       0x0034, S16,  RO, CSX, " 26 " },</v>
      </c>
    </row>
    <row r="28" spans="1:1" x14ac:dyDescent="0.25">
      <c r="A28" t="str">
        <f>CONCATENATE("{ """,Table!A30,""",",IF(LEN(Table!A30)=0,"   ",IF(LEN(Table!A30)=1,"  "," ")),"""",Table!B30,""",",IF(LEN(Table!B30)=0,"       ",IF(LEN(Table!B30)=1,"      ",IF(LEN(Table!B30)=2,"     ",IF(LEN(Table!B30)=3,"    ",IF(LEN(Table!B30)=4,"   ",IF(LEN(Table!B30)=5,"  "," ")))))),"0x",Table!F30,", ",Table!J30,",",IF(OR((Table!J30="U16"),(Table!J30="S16")),"  "," "),Table!I30,", ",Table!K30,IF(Table!C30&lt;10,", ""  ",IF(Table!C30&lt;100,", "" ",", """)),Table!C30," ",Table!H30,""" },")</f>
        <v>{ "",   "",       0x0036, S16,  RO, CSX, " 27 " },</v>
      </c>
    </row>
    <row r="29" spans="1:1" x14ac:dyDescent="0.25">
      <c r="A29" t="str">
        <f>CONCATENATE("{ """,Table!A31,""",",IF(LEN(Table!A31)=0,"   ",IF(LEN(Table!A31)=1,"  "," ")),"""",Table!B31,""",",IF(LEN(Table!B31)=0,"       ",IF(LEN(Table!B31)=1,"      ",IF(LEN(Table!B31)=2,"     ",IF(LEN(Table!B31)=3,"    ",IF(LEN(Table!B31)=4,"   ",IF(LEN(Table!B31)=5,"  "," ")))))),"0x",Table!F31,", ",Table!J31,",",IF(OR((Table!J31="U16"),(Table!J31="S16")),"  "," "),Table!I31,", ",Table!K31,IF(Table!C31&lt;10,", ""  ",IF(Table!C31&lt;100,", "" ",", """)),Table!C31," ",Table!H31,""" },")</f>
        <v>{ "",   "",       0x0038, S16,  RO, CSX, " 28 " },</v>
      </c>
    </row>
    <row r="30" spans="1:1" x14ac:dyDescent="0.25">
      <c r="A30" t="str">
        <f>CONCATENATE("{ """,Table!A32,""",",IF(LEN(Table!A32)=0,"   ",IF(LEN(Table!A32)=1,"  "," ")),"""",Table!B32,""",",IF(LEN(Table!B32)=0,"       ",IF(LEN(Table!B32)=1,"      ",IF(LEN(Table!B32)=2,"     ",IF(LEN(Table!B32)=3,"    ",IF(LEN(Table!B32)=4,"   ",IF(LEN(Table!B32)=5,"  "," ")))))),"0x",Table!F32,", ",Table!J32,",",IF(OR((Table!J32="U16"),(Table!J32="S16")),"  "," "),Table!I32,", ",Table!K32,IF(Table!C32&lt;10,", ""  ",IF(Table!C32&lt;100,", "" ",", """)),Table!C32," ",Table!H32,""" },")</f>
        <v>{ "",   "",       0x003A, S16,  RO, CSX, " 29 " },</v>
      </c>
    </row>
    <row r="31" spans="1:1" x14ac:dyDescent="0.25">
      <c r="A31" t="str">
        <f>CONCATENATE("{ """,Table!A33,""",",IF(LEN(Table!A33)=0,"   ",IF(LEN(Table!A33)=1,"  "," ")),"""",Table!B33,""",",IF(LEN(Table!B33)=0,"       ",IF(LEN(Table!B33)=1,"      ",IF(LEN(Table!B33)=2,"     ",IF(LEN(Table!B33)=3,"    ",IF(LEN(Table!B33)=4,"   ",IF(LEN(Table!B33)=5,"  "," ")))))),"0x",Table!F33,", ",Table!J33,",",IF(OR((Table!J33="U16"),(Table!J33="S16")),"  "," "),Table!I33,", ",Table!K33,IF(Table!C33&lt;10,", ""  ",IF(Table!C33&lt;100,", "" ",", """)),Table!C33," ",Table!H33,""" },")</f>
        <v>{ "",   "",       0x003C, S16,  RO, CSX, " 30 " },</v>
      </c>
    </row>
    <row r="32" spans="1:1" x14ac:dyDescent="0.25">
      <c r="A32" t="str">
        <f>CONCATENATE("{ """,Table!A34,""",",IF(LEN(Table!A34)=0,"   ",IF(LEN(Table!A34)=1,"  "," ")),"""",Table!B34,""",",IF(LEN(Table!B34)=0,"       ",IF(LEN(Table!B34)=1,"      ",IF(LEN(Table!B34)=2,"     ",IF(LEN(Table!B34)=3,"    ",IF(LEN(Table!B34)=4,"   ",IF(LEN(Table!B34)=5,"  "," ")))))),"0x",Table!F34,", ",Table!J34,",",IF(OR((Table!J34="U16"),(Table!J34="S16")),"  "," "),Table!I34,", ",Table!K34,IF(Table!C34&lt;10,", ""  ",IF(Table!C34&lt;100,", "" ",", """)),Table!C34," ",Table!H34,""" },")</f>
        <v>{ "",   "",       0x003E, S16,  RO, CSX, " 31 " },</v>
      </c>
    </row>
    <row r="33" spans="1:1" x14ac:dyDescent="0.25">
      <c r="A33" t="str">
        <f>CONCATENATE("{ """,Table!A35,""",",IF(LEN(Table!A35)=0,"   ",IF(LEN(Table!A35)=1,"  "," ")),"""",Table!B35,""",",IF(LEN(Table!B35)=0,"       ",IF(LEN(Table!B35)=1,"      ",IF(LEN(Table!B35)=2,"     ",IF(LEN(Table!B35)=3,"    ",IF(LEN(Table!B35)=4,"   ",IF(LEN(Table!B35)=5,"  "," ")))))),"0x",Table!F35,", ",Table!J35,",",IF(OR((Table!J35="U16"),(Table!J35="S16")),"  "," "),Table!I35,", ",Table!K35,IF(Table!C35&lt;10,", ""  ",IF(Table!C35&lt;100,", "" ",", """)),Table!C35," ",Table!H35,""" },")</f>
        <v>{ "",   "",       0x0040, S16,  RW, CSX, " 32 " },</v>
      </c>
    </row>
    <row r="34" spans="1:1" x14ac:dyDescent="0.25">
      <c r="A34" t="str">
        <f>CONCATENATE("{ """,Table!A36,""",",IF(LEN(Table!A36)=0,"   ",IF(LEN(Table!A36)=1,"  "," ")),"""",Table!B36,""",",IF(LEN(Table!B36)=0,"       ",IF(LEN(Table!B36)=1,"      ",IF(LEN(Table!B36)=2,"     ",IF(LEN(Table!B36)=3,"    ",IF(LEN(Table!B36)=4,"   ",IF(LEN(Table!B36)=5,"  "," ")))))),"0x",Table!F36,", ",Table!J36,",",IF(OR((Table!J36="U16"),(Table!J36="S16")),"  "," "),Table!I36,", ",Table!K36,IF(Table!C36&lt;10,", ""  ",IF(Table!C36&lt;100,", "" ",", """)),Table!C36," ",Table!H36,""" },")</f>
        <v>{ "",   "",       0x0042, S16,  RW, CSX, " 33 " },</v>
      </c>
    </row>
    <row r="35" spans="1:1" x14ac:dyDescent="0.25">
      <c r="A35" t="str">
        <f>CONCATENATE("{ """,Table!A37,""",",IF(LEN(Table!A37)=0,"   ",IF(LEN(Table!A37)=1,"  "," ")),"""",Table!B37,""",",IF(LEN(Table!B37)=0,"       ",IF(LEN(Table!B37)=1,"      ",IF(LEN(Table!B37)=2,"     ",IF(LEN(Table!B37)=3,"    ",IF(LEN(Table!B37)=4,"   ",IF(LEN(Table!B37)=5,"  "," ")))))),"0x",Table!F37,", ",Table!J37,",",IF(OR((Table!J37="U16"),(Table!J37="S16")),"  "," "),Table!I37,", ",Table!K37,IF(Table!C37&lt;10,", ""  ",IF(Table!C37&lt;100,", "" ",", """)),Table!C37," ",Table!H37,""" },")</f>
        <v>{ "",   "",       0x0044, S16,  RW, CSX, " 34 " },</v>
      </c>
    </row>
    <row r="36" spans="1:1" x14ac:dyDescent="0.25">
      <c r="A36" t="str">
        <f>CONCATENATE("{ """,Table!A38,""",",IF(LEN(Table!A38)=0,"   ",IF(LEN(Table!A38)=1,"  "," ")),"""",Table!B38,""",",IF(LEN(Table!B38)=0,"       ",IF(LEN(Table!B38)=1,"      ",IF(LEN(Table!B38)=2,"     ",IF(LEN(Table!B38)=3,"    ",IF(LEN(Table!B38)=4,"   ",IF(LEN(Table!B38)=5,"  "," ")))))),"0x",Table!F38,", ",Table!J38,",",IF(OR((Table!J38="U16"),(Table!J38="S16")),"  "," "),Table!I38,", ",Table!K38,IF(Table!C38&lt;10,", ""  ",IF(Table!C38&lt;100,", "" ",", """)),Table!C38," ",Table!H38,""" },")</f>
        <v>{ "",   "",       0x0046, S16,  RW, CSX, " 35 " },</v>
      </c>
    </row>
    <row r="37" spans="1:1" x14ac:dyDescent="0.25">
      <c r="A37" t="str">
        <f>CONCATENATE("{ """,Table!A39,""",",IF(LEN(Table!A39)=0,"   ",IF(LEN(Table!A39)=1,"  "," ")),"""",Table!B39,""",",IF(LEN(Table!B39)=0,"       ",IF(LEN(Table!B39)=1,"      ",IF(LEN(Table!B39)=2,"     ",IF(LEN(Table!B39)=3,"    ",IF(LEN(Table!B39)=4,"   ",IF(LEN(Table!B39)=5,"  "," ")))))),"0x",Table!F39,", ",Table!J39,",",IF(OR((Table!J39="U16"),(Table!J39="S16")),"  "," "),Table!I39,", ",Table!K39,IF(Table!C39&lt;10,", ""  ",IF(Table!C39&lt;100,", "" ",", """)),Table!C39," ",Table!H39,""" },")</f>
        <v>{ "",   "",       0x0048, S16,  RW, CSX, " 36 " },</v>
      </c>
    </row>
    <row r="38" spans="1:1" x14ac:dyDescent="0.25">
      <c r="A38" t="str">
        <f>CONCATENATE("{ """,Table!A40,""",",IF(LEN(Table!A40)=0,"   ",IF(LEN(Table!A40)=1,"  "," ")),"""",Table!B40,""",",IF(LEN(Table!B40)=0,"       ",IF(LEN(Table!B40)=1,"      ",IF(LEN(Table!B40)=2,"     ",IF(LEN(Table!B40)=3,"    ",IF(LEN(Table!B40)=4,"   ",IF(LEN(Table!B40)=5,"  "," ")))))),"0x",Table!F40,", ",Table!J40,",",IF(OR((Table!J40="U16"),(Table!J40="S16")),"  "," "),Table!I40,", ",Table!K40,IF(Table!C40&lt;10,", ""  ",IF(Table!C40&lt;100,", "" ",", """)),Table!C40," ",Table!H40,""" },")</f>
        <v>{ "",   "",       0x004A, S16,  RW, CSX, " 37 " },</v>
      </c>
    </row>
    <row r="39" spans="1:1" x14ac:dyDescent="0.25">
      <c r="A39" t="str">
        <f>CONCATENATE("{ """,Table!A41,""",",IF(LEN(Table!A41)=0,"   ",IF(LEN(Table!A41)=1,"  "," ")),"""",Table!B41,""",",IF(LEN(Table!B41)=0,"       ",IF(LEN(Table!B41)=1,"      ",IF(LEN(Table!B41)=2,"     ",IF(LEN(Table!B41)=3,"    ",IF(LEN(Table!B41)=4,"   ",IF(LEN(Table!B41)=5,"  "," ")))))),"0x",Table!F41,", ",Table!J41,",",IF(OR((Table!J41="U16"),(Table!J41="S16")),"  "," "),Table!I41,", ",Table!K41,IF(Table!C41&lt;10,", ""  ",IF(Table!C41&lt;100,", "" ",", """)),Table!C41," ",Table!H41,""" },")</f>
        <v>{ "",   "",       0x004C, S16,  RW, CSX, " 38 " },</v>
      </c>
    </row>
    <row r="40" spans="1:1" x14ac:dyDescent="0.25">
      <c r="A40" t="str">
        <f>CONCATENATE("{ """,Table!A42,""",",IF(LEN(Table!A42)=0,"   ",IF(LEN(Table!A42)=1,"  "," ")),"""",Table!B42,""",",IF(LEN(Table!B42)=0,"       ",IF(LEN(Table!B42)=1,"      ",IF(LEN(Table!B42)=2,"     ",IF(LEN(Table!B42)=3,"    ",IF(LEN(Table!B42)=4,"   ",IF(LEN(Table!B42)=5,"  "," ")))))),"0x",Table!F42,", ",Table!J42,",",IF(OR((Table!J42="U16"),(Table!J42="S16")),"  "," "),Table!I42,", ",Table!K42,IF(Table!C42&lt;10,", ""  ",IF(Table!C42&lt;100,", "" ",", """)),Table!C42," ",Table!H42,""" },")</f>
        <v>{ "",   "",       0x004E, S16,  RW, CSX, " 39 " },</v>
      </c>
    </row>
    <row r="41" spans="1:1" x14ac:dyDescent="0.25">
      <c r="A41" t="str">
        <f>CONCATENATE("{ """,Table!A43,""",",IF(LEN(Table!A43)=0,"   ",IF(LEN(Table!A43)=1,"  "," ")),"""",Table!B43,""",",IF(LEN(Table!B43)=0,"       ",IF(LEN(Table!B43)=1,"      ",IF(LEN(Table!B43)=2,"     ",IF(LEN(Table!B43)=3,"    ",IF(LEN(Table!B43)=4,"   ",IF(LEN(Table!B43)=5,"  "," ")))))),"0x",Table!F43,", ",Table!J43,",",IF(OR((Table!J43="U16"),(Table!J43="S16")),"  "," "),Table!I43,", ",Table!K43,IF(Table!C43&lt;10,", ""  ",IF(Table!C43&lt;100,", "" ",", """)),Table!C43," ",Table!H43,""" },")</f>
        <v>{ "",   "",       0x0050, S16,  RW, CSX, " 40 " },</v>
      </c>
    </row>
    <row r="42" spans="1:1" x14ac:dyDescent="0.25">
      <c r="A42" t="str">
        <f>CONCATENATE("{ """,Table!A44,""",",IF(LEN(Table!A44)=0,"   ",IF(LEN(Table!A44)=1,"  "," ")),"""",Table!B44,""",",IF(LEN(Table!B44)=0,"       ",IF(LEN(Table!B44)=1,"      ",IF(LEN(Table!B44)=2,"     ",IF(LEN(Table!B44)=3,"    ",IF(LEN(Table!B44)=4,"   ",IF(LEN(Table!B44)=5,"  "," ")))))),"0x",Table!F44,", ",Table!J44,",",IF(OR((Table!J44="U16"),(Table!J44="S16")),"  "," "),Table!I44,", ",Table!K44,IF(Table!C44&lt;10,", ""  ",IF(Table!C44&lt;100,", "" ",", """)),Table!C44," ",Table!H44,""" },")</f>
        <v>{ "",   "",       0x0052, S16,  RW, CSX, " 41 " },</v>
      </c>
    </row>
    <row r="43" spans="1:1" x14ac:dyDescent="0.25">
      <c r="A43" t="str">
        <f>CONCATENATE("{ """,Table!A45,""",",IF(LEN(Table!A45)=0,"   ",IF(LEN(Table!A45)=1,"  "," ")),"""",Table!B45,""",",IF(LEN(Table!B45)=0,"       ",IF(LEN(Table!B45)=1,"      ",IF(LEN(Table!B45)=2,"     ",IF(LEN(Table!B45)=3,"    ",IF(LEN(Table!B45)=4,"   ",IF(LEN(Table!B45)=5,"  "," ")))))),"0x",Table!F45,", ",Table!J45,",",IF(OR((Table!J45="U16"),(Table!J45="S16")),"  "," "),Table!I45,", ",Table!K45,IF(Table!C45&lt;10,", ""  ",IF(Table!C45&lt;100,", "" ",", """)),Table!C45," ",Table!H45,""" },")</f>
        <v>{ "",   "",       0x0054, S16,  RW, CSX, " 42 " },</v>
      </c>
    </row>
    <row r="44" spans="1:1" x14ac:dyDescent="0.25">
      <c r="A44" t="str">
        <f>CONCATENATE("{ """,Table!A46,""",",IF(LEN(Table!A46)=0,"   ",IF(LEN(Table!A46)=1,"  "," ")),"""",Table!B46,""",",IF(LEN(Table!B46)=0,"       ",IF(LEN(Table!B46)=1,"      ",IF(LEN(Table!B46)=2,"     ",IF(LEN(Table!B46)=3,"    ",IF(LEN(Table!B46)=4,"   ",IF(LEN(Table!B46)=5,"  "," ")))))),"0x",Table!F46,", ",Table!J46,",",IF(OR((Table!J46="U16"),(Table!J46="S16")),"  "," "),Table!I46,", ",Table!K46,IF(Table!C46&lt;10,", ""  ",IF(Table!C46&lt;100,", "" ",", """)),Table!C46," ",Table!H46,""" },")</f>
        <v>{ "",   "",       0x0056, S16,  RW, CSX, " 43 " },</v>
      </c>
    </row>
    <row r="45" spans="1:1" x14ac:dyDescent="0.25">
      <c r="A45" t="str">
        <f>CONCATENATE("{ """,Table!A47,""",",IF(LEN(Table!A47)=0,"   ",IF(LEN(Table!A47)=1,"  "," ")),"""",Table!B47,""",",IF(LEN(Table!B47)=0,"       ",IF(LEN(Table!B47)=1,"      ",IF(LEN(Table!B47)=2,"     ",IF(LEN(Table!B47)=3,"    ",IF(LEN(Table!B47)=4,"   ",IF(LEN(Table!B47)=5,"  "," ")))))),"0x",Table!F47,", ",Table!J47,",",IF(OR((Table!J47="U16"),(Table!J47="S16")),"  "," "),Table!I47,", ",Table!K47,IF(Table!C47&lt;10,", ""  ",IF(Table!C47&lt;100,", "" ",", """)),Table!C47," ",Table!H47,""" },")</f>
        <v>{ "",   "",       0x0058, S16,  RW, CSX, " 44 " },</v>
      </c>
    </row>
    <row r="46" spans="1:1" x14ac:dyDescent="0.25">
      <c r="A46" t="str">
        <f>CONCATENATE("{ """,Table!A48,""",",IF(LEN(Table!A48)=0,"   ",IF(LEN(Table!A48)=1,"  "," ")),"""",Table!B48,""",",IF(LEN(Table!B48)=0,"       ",IF(LEN(Table!B48)=1,"      ",IF(LEN(Table!B48)=2,"     ",IF(LEN(Table!B48)=3,"    ",IF(LEN(Table!B48)=4,"   ",IF(LEN(Table!B48)=5,"  "," ")))))),"0x",Table!F48,", ",Table!J48,",",IF(OR((Table!J48="U16"),(Table!J48="S16")),"  "," "),Table!I48,", ",Table!K48,IF(Table!C48&lt;10,", ""  ",IF(Table!C48&lt;100,", "" ",", """)),Table!C48," ",Table!H48,""" },")</f>
        <v>{ "",   "",       0x005A, S16,  RW, CSX, " 45 " },</v>
      </c>
    </row>
    <row r="47" spans="1:1" x14ac:dyDescent="0.25">
      <c r="A47" t="str">
        <f>CONCATENATE("{ """,Table!A49,""",",IF(LEN(Table!A49)=0,"   ",IF(LEN(Table!A49)=1,"  "," ")),"""",Table!B49,""",",IF(LEN(Table!B49)=0,"       ",IF(LEN(Table!B49)=1,"      ",IF(LEN(Table!B49)=2,"     ",IF(LEN(Table!B49)=3,"    ",IF(LEN(Table!B49)=4,"   ",IF(LEN(Table!B49)=5,"  "," ")))))),"0x",Table!F49,", ",Table!J49,",",IF(OR((Table!J49="U16"),(Table!J49="S16")),"  "," "),Table!I49,", ",Table!K49,IF(Table!C49&lt;10,", ""  ",IF(Table!C49&lt;100,", "" ",", """)),Table!C49," ",Table!H49,""" },")</f>
        <v>{ "",   "",       0x005C, S16,  RW, CSX, " 46 " },</v>
      </c>
    </row>
    <row r="48" spans="1:1" x14ac:dyDescent="0.25">
      <c r="A48" t="str">
        <f>CONCATENATE("{ """,Table!A50,""",",IF(LEN(Table!A50)=0,"   ",IF(LEN(Table!A50)=1,"  "," ")),"""",Table!B50,""",",IF(LEN(Table!B50)=0,"       ",IF(LEN(Table!B50)=1,"      ",IF(LEN(Table!B50)=2,"     ",IF(LEN(Table!B50)=3,"    ",IF(LEN(Table!B50)=4,"   ",IF(LEN(Table!B50)=5,"  "," ")))))),"0x",Table!F50,", ",Table!J50,",",IF(OR((Table!J50="U16"),(Table!J50="S16")),"  "," "),Table!I50,", ",Table!K50,IF(Table!C50&lt;10,", ""  ",IF(Table!C50&lt;100,", "" ",", """)),Table!C50," ",Table!H50,""" },")</f>
        <v>{ "",   "",       0x005E, S16,  RW, CSX, " 47 " },</v>
      </c>
    </row>
    <row r="49" spans="1:1" x14ac:dyDescent="0.25">
      <c r="A49" t="str">
        <f>CONCATENATE("{ """,Table!A51,""",",IF(LEN(Table!A51)=0,"   ",IF(LEN(Table!A51)=1,"  "," ")),"""",Table!B51,""",",IF(LEN(Table!B51)=0,"       ",IF(LEN(Table!B51)=1,"      ",IF(LEN(Table!B51)=2,"     ",IF(LEN(Table!B51)=3,"    ",IF(LEN(Table!B51)=4,"   ",IF(LEN(Table!B51)=5,"  "," ")))))),"0x",Table!F51,", ",Table!J51,",",IF(OR((Table!J51="U16"),(Table!J51="S16")),"  "," "),Table!I51,", ",Table!K51,IF(Table!C51&lt;10,", ""  ",IF(Table!C51&lt;100,", "" ",", """)),Table!C51," ",Table!H51,""" },")</f>
        <v>{ "",   "",       0x0060, S16,  RW, CSX, " 48 " },</v>
      </c>
    </row>
    <row r="50" spans="1:1" x14ac:dyDescent="0.25">
      <c r="A50" t="str">
        <f>CONCATENATE("{ """,Table!A52,""",",IF(LEN(Table!A52)=0,"   ",IF(LEN(Table!A52)=1,"  "," ")),"""",Table!B52,""",",IF(LEN(Table!B52)=0,"       ",IF(LEN(Table!B52)=1,"      ",IF(LEN(Table!B52)=2,"     ",IF(LEN(Table!B52)=3,"    ",IF(LEN(Table!B52)=4,"   ",IF(LEN(Table!B52)=5,"  "," ")))))),"0x",Table!F52,", ",Table!J52,",",IF(OR((Table!J52="U16"),(Table!J52="S16")),"  "," "),Table!I52,", ",Table!K52,IF(Table!C52&lt;10,", ""  ",IF(Table!C52&lt;100,", "" ",", """)),Table!C52," ",Table!H52,""" },")</f>
        <v>{ "",   "",       0x0062, U16,  RW, CXX, " 49 " },</v>
      </c>
    </row>
    <row r="51" spans="1:1" x14ac:dyDescent="0.25">
      <c r="A51" t="str">
        <f>CONCATENATE("{ """,Table!A53,""",",IF(LEN(Table!A53)=0,"   ",IF(LEN(Table!A53)=1,"  "," ")),"""",Table!B53,""",",IF(LEN(Table!B53)=0,"       ",IF(LEN(Table!B53)=1,"      ",IF(LEN(Table!B53)=2,"     ",IF(LEN(Table!B53)=3,"    ",IF(LEN(Table!B53)=4,"   ",IF(LEN(Table!B53)=5,"  "," ")))))),"0x",Table!F53,", ",Table!J53,",",IF(OR((Table!J53="U16"),(Table!J53="S16")),"  "," "),Table!I53,", ",Table!K53,IF(Table!C53&lt;10,", ""  ",IF(Table!C53&lt;100,", "" ",", """)),Table!C53," ",Table!H53,""" },")</f>
        <v>{ "",   "",       0x0064, U16,  RO, CXX, " 50 " },</v>
      </c>
    </row>
    <row r="52" spans="1:1" x14ac:dyDescent="0.25">
      <c r="A52" t="str">
        <f>CONCATENATE("{ """,Table!A54,""",",IF(LEN(Table!A54)=0,"   ",IF(LEN(Table!A54)=1,"  "," ")),"""",Table!B54,""",",IF(LEN(Table!B54)=0,"       ",IF(LEN(Table!B54)=1,"      ",IF(LEN(Table!B54)=2,"     ",IF(LEN(Table!B54)=3,"    ",IF(LEN(Table!B54)=4,"   ",IF(LEN(Table!B54)=5,"  "," ")))))),"0x",Table!F54,", ",Table!J54,",",IF(OR((Table!J54="U16"),(Table!J54="S16")),"  "," "),Table!I54,", ",Table!K54,IF(Table!C54&lt;10,", ""  ",IF(Table!C54&lt;100,", "" ",", """)),Table!C54," ",Table!H54,""" },")</f>
        <v>{ "",   "",       0x0066, U16,  RO, CXX, " 51 " },</v>
      </c>
    </row>
    <row r="53" spans="1:1" x14ac:dyDescent="0.25">
      <c r="A53" t="str">
        <f>CONCATENATE("{ """,Table!A55,""",",IF(LEN(Table!A55)=0,"   ",IF(LEN(Table!A55)=1,"  "," ")),"""",Table!B55,""",",IF(LEN(Table!B55)=0,"       ",IF(LEN(Table!B55)=1,"      ",IF(LEN(Table!B55)=2,"     ",IF(LEN(Table!B55)=3,"    ",IF(LEN(Table!B55)=4,"   ",IF(LEN(Table!B55)=5,"  "," ")))))),"0x",Table!F55,", ",Table!J55,",",IF(OR((Table!J55="U16"),(Table!J55="S16")),"  "," "),Table!I55,", ",Table!K55,IF(Table!C55&lt;10,", ""  ",IF(Table!C55&lt;100,", "" ",", """)),Table!C55," ",Table!H55,""" },")</f>
        <v>{ "",   "",       0x0068, U16,  RO, CXX, " 52 " },</v>
      </c>
    </row>
    <row r="54" spans="1:1" x14ac:dyDescent="0.25">
      <c r="A54" t="str">
        <f>CONCATENATE("{ """,Table!A56,""",",IF(LEN(Table!A56)=0,"   ",IF(LEN(Table!A56)=1,"  "," ")),"""",Table!B56,""",",IF(LEN(Table!B56)=0,"       ",IF(LEN(Table!B56)=1,"      ",IF(LEN(Table!B56)=2,"     ",IF(LEN(Table!B56)=3,"    ",IF(LEN(Table!B56)=4,"   ",IF(LEN(Table!B56)=5,"  "," ")))))),"0x",Table!F56,", ",Table!J56,",",IF(OR((Table!J56="U16"),(Table!J56="S16")),"  "," "),Table!I56,", ",Table!K56,IF(Table!C56&lt;10,", ""  ",IF(Table!C56&lt;100,", "" ",", """)),Table!C56," ",Table!H56,""" },")</f>
        <v>{ "",   "",       0x006A, U16,  RO, CXX, " 53 " },</v>
      </c>
    </row>
    <row r="55" spans="1:1" x14ac:dyDescent="0.25">
      <c r="A55" t="str">
        <f>CONCATENATE("{ """,Table!A57,""",",IF(LEN(Table!A57)=0,"   ",IF(LEN(Table!A57)=1,"  "," ")),"""",Table!B57,""",",IF(LEN(Table!B57)=0,"       ",IF(LEN(Table!B57)=1,"      ",IF(LEN(Table!B57)=2,"     ",IF(LEN(Table!B57)=3,"    ",IF(LEN(Table!B57)=4,"   ",IF(LEN(Table!B57)=5,"  "," ")))))),"0x",Table!F57,", ",Table!J57,",",IF(OR((Table!J57="U16"),(Table!J57="S16")),"  "," "),Table!I57,", ",Table!K57,IF(Table!C57&lt;10,", ""  ",IF(Table!C57&lt;100,", "" ",", """)),Table!C57," ",Table!H57,""" },")</f>
        <v>{ "",   "",       0x006C, U16,  RO, CXX, " 54 " },</v>
      </c>
    </row>
    <row r="56" spans="1:1" x14ac:dyDescent="0.25">
      <c r="A56" t="str">
        <f>CONCATENATE("{ """,Table!A58,""",",IF(LEN(Table!A58)=0,"   ",IF(LEN(Table!A58)=1,"  "," ")),"""",Table!B58,""",",IF(LEN(Table!B58)=0,"       ",IF(LEN(Table!B58)=1,"      ",IF(LEN(Table!B58)=2,"     ",IF(LEN(Table!B58)=3,"    ",IF(LEN(Table!B58)=4,"   ",IF(LEN(Table!B58)=5,"  "," ")))))),"0x",Table!F58,", ",Table!J58,",",IF(OR((Table!J58="U16"),(Table!J58="S16")),"  "," "),Table!I58,", ",Table!K58,IF(Table!C58&lt;10,", ""  ",IF(Table!C58&lt;100,", "" ",", """)),Table!C58," ",Table!H58,""" },")</f>
        <v>{ "",   "",       0x006E, U16,  RO, CXX, " 55 " },</v>
      </c>
    </row>
    <row r="57" spans="1:1" x14ac:dyDescent="0.25">
      <c r="A57" t="str">
        <f>CONCATENATE("{ """,Table!A59,""",",IF(LEN(Table!A59)=0,"   ",IF(LEN(Table!A59)=1,"  "," ")),"""",Table!B59,""",",IF(LEN(Table!B59)=0,"       ",IF(LEN(Table!B59)=1,"      ",IF(LEN(Table!B59)=2,"     ",IF(LEN(Table!B59)=3,"    ",IF(LEN(Table!B59)=4,"   ",IF(LEN(Table!B59)=5,"  "," ")))))),"0x",Table!F59,", ",Table!J59,",",IF(OR((Table!J59="U16"),(Table!J59="S16")),"  "," "),Table!I59,", ",Table!K59,IF(Table!C59&lt;10,", ""  ",IF(Table!C59&lt;100,", "" ",", """)),Table!C59," ",Table!H59,""" },")</f>
        <v>{ "",   "",       0x0070, U16,  RO, CXX, " 56 " },</v>
      </c>
    </row>
    <row r="58" spans="1:1" x14ac:dyDescent="0.25">
      <c r="A58" t="str">
        <f>CONCATENATE("{ """,Table!A60,""",",IF(LEN(Table!A60)=0,"   ",IF(LEN(Table!A60)=1,"  "," ")),"""",Table!B60,""",",IF(LEN(Table!B60)=0,"       ",IF(LEN(Table!B60)=1,"      ",IF(LEN(Table!B60)=2,"     ",IF(LEN(Table!B60)=3,"    ",IF(LEN(Table!B60)=4,"   ",IF(LEN(Table!B60)=5,"  "," ")))))),"0x",Table!F60,", ",Table!J60,",",IF(OR((Table!J60="U16"),(Table!J60="S16")),"  "," "),Table!I60,", ",Table!K60,IF(Table!C60&lt;10,", ""  ",IF(Table!C60&lt;100,", "" ",", """)),Table!C60," ",Table!H60,""" },")</f>
        <v>{ "",   "",       0x0072, U16,  RO, CXX, " 57 " },</v>
      </c>
    </row>
    <row r="59" spans="1:1" x14ac:dyDescent="0.25">
      <c r="A59" t="str">
        <f>CONCATENATE("{ """,Table!A61,""",",IF(LEN(Table!A61)=0,"   ",IF(LEN(Table!A61)=1,"  "," ")),"""",Table!B61,""",",IF(LEN(Table!B61)=0,"       ",IF(LEN(Table!B61)=1,"      ",IF(LEN(Table!B61)=2,"     ",IF(LEN(Table!B61)=3,"    ",IF(LEN(Table!B61)=4,"   ",IF(LEN(Table!B61)=5,"  "," ")))))),"0x",Table!F61,", ",Table!J61,",",IF(OR((Table!J61="U16"),(Table!J61="S16")),"  "," "),Table!I61,", ",Table!K61,IF(Table!C61&lt;10,", ""  ",IF(Table!C61&lt;100,", "" ",", """)),Table!C61," ",Table!H61,""" },")</f>
        <v>{ "",   "",       0x0074, U16,  RO, CXX, " 58 " },</v>
      </c>
    </row>
    <row r="60" spans="1:1" x14ac:dyDescent="0.25">
      <c r="A60" t="str">
        <f>CONCATENATE("{ """,Table!A62,""",",IF(LEN(Table!A62)=0,"   ",IF(LEN(Table!A62)=1,"  "," ")),"""",Table!B62,""",",IF(LEN(Table!B62)=0,"       ",IF(LEN(Table!B62)=1,"      ",IF(LEN(Table!B62)=2,"     ",IF(LEN(Table!B62)=3,"    ",IF(LEN(Table!B62)=4,"   ",IF(LEN(Table!B62)=5,"  "," ")))))),"0x",Table!F62,", ",Table!J62,",",IF(OR((Table!J62="U16"),(Table!J62="S16")),"  "," "),Table!I62,", ",Table!K62,IF(Table!C62&lt;10,", ""  ",IF(Table!C62&lt;100,", "" ",", """)),Table!C62," ",Table!H62,""" },")</f>
        <v>{ "",   "",       0x0076, U16,  RO, CXX, " 59 " },</v>
      </c>
    </row>
    <row r="61" spans="1:1" x14ac:dyDescent="0.25">
      <c r="A61" t="str">
        <f>CONCATENATE("{ """,Table!A63,""",",IF(LEN(Table!A63)=0,"   ",IF(LEN(Table!A63)=1,"  "," ")),"""",Table!B63,""",",IF(LEN(Table!B63)=0,"       ",IF(LEN(Table!B63)=1,"      ",IF(LEN(Table!B63)=2,"     ",IF(LEN(Table!B63)=3,"    ",IF(LEN(Table!B63)=4,"   ",IF(LEN(Table!B63)=5,"  "," ")))))),"0x",Table!F63,", ",Table!J63,",",IF(OR((Table!J63="U16"),(Table!J63="S16")),"  "," "),Table!I63,", ",Table!K63,IF(Table!C63&lt;10,", ""  ",IF(Table!C63&lt;100,", "" ",", """)),Table!C63," ",Table!H63,""" },")</f>
        <v>{ "",   "",       0x0078, U16,  RO, CXX, " 60 " },</v>
      </c>
    </row>
    <row r="62" spans="1:1" x14ac:dyDescent="0.25">
      <c r="A62" t="str">
        <f>CONCATENATE("{ """,Table!A64,""",",IF(LEN(Table!A64)=0,"   ",IF(LEN(Table!A64)=1,"  "," ")),"""",Table!B64,""",",IF(LEN(Table!B64)=0,"       ",IF(LEN(Table!B64)=1,"      ",IF(LEN(Table!B64)=2,"     ",IF(LEN(Table!B64)=3,"    ",IF(LEN(Table!B64)=4,"   ",IF(LEN(Table!B64)=5,"  "," ")))))),"0x",Table!F64,", ",Table!J64,",",IF(OR((Table!J64="U16"),(Table!J64="S16")),"  "," "),Table!I64,", ",Table!K64,IF(Table!C64&lt;10,", ""  ",IF(Table!C64&lt;100,", "" ",", """)),Table!C64," ",Table!H64,""" },")</f>
        <v>{ "",   "",       0x007A, U16,  RO, CXX, " 61 " },</v>
      </c>
    </row>
    <row r="63" spans="1:1" x14ac:dyDescent="0.25">
      <c r="A63" t="str">
        <f>CONCATENATE("{ """,Table!A65,""",",IF(LEN(Table!A65)=0,"   ",IF(LEN(Table!A65)=1,"  "," ")),"""",Table!B65,""",",IF(LEN(Table!B65)=0,"       ",IF(LEN(Table!B65)=1,"      ",IF(LEN(Table!B65)=2,"     ",IF(LEN(Table!B65)=3,"    ",IF(LEN(Table!B65)=4,"   ",IF(LEN(Table!B65)=5,"  "," ")))))),"0x",Table!F65,", ",Table!J65,",",IF(OR((Table!J65="U16"),(Table!J65="S16")),"  "," "),Table!I65,", ",Table!K65,IF(Table!C65&lt;10,", ""  ",IF(Table!C65&lt;100,", "" ",", """)),Table!C65," ",Table!H65,""" },")</f>
        <v>{ "",   "",       0x007C, U16,  RO, CXX, " 62 " },</v>
      </c>
    </row>
    <row r="64" spans="1:1" x14ac:dyDescent="0.25">
      <c r="A64" t="str">
        <f>CONCATENATE("{ """,Table!A66,""",",IF(LEN(Table!A66)=0,"   ",IF(LEN(Table!A66)=1,"  "," ")),"""",Table!B66,""",",IF(LEN(Table!B66)=0,"       ",IF(LEN(Table!B66)=1,"      ",IF(LEN(Table!B66)=2,"     ",IF(LEN(Table!B66)=3,"    ",IF(LEN(Table!B66)=4,"   ",IF(LEN(Table!B66)=5,"  "," ")))))),"0x",Table!F66,", ",Table!J66,",",IF(OR((Table!J66="U16"),(Table!J66="S16")),"  "," "),Table!I66,", ",Table!K66,IF(Table!C66&lt;10,", ""  ",IF(Table!C66&lt;100,", "" ",", """)),Table!C66," ",Table!H66,""" },")</f>
        <v>{ "",   "",       0x007E, U16,  RW, CXX, " 63 " },</v>
      </c>
    </row>
    <row r="65" spans="1:1" x14ac:dyDescent="0.25">
      <c r="A65" t="str">
        <f>CONCATENATE("{ """,Table!A67,""",",IF(LEN(Table!A67)=0,"   ",IF(LEN(Table!A67)=1,"  "," ")),"""",Table!B67,""",",IF(LEN(Table!B67)=0,"       ",IF(LEN(Table!B67)=1,"      ",IF(LEN(Table!B67)=2,"     ",IF(LEN(Table!B67)=3,"    ",IF(LEN(Table!B67)=4,"   ",IF(LEN(Table!B67)=5,"  "," ")))))),"0x",Table!F67,", ",Table!J67,",",IF(OR((Table!J67="U16"),(Table!J67="S16")),"  "," "),Table!I67,", ",Table!K67,IF(Table!C67&lt;10,", ""  ",IF(Table!C67&lt;100,", "" ",", """)),Table!C67," ",Table!H67,""" },")</f>
        <v>{ "",   "",       0x0080, U16,  RO, CXX, " 64 " },</v>
      </c>
    </row>
    <row r="66" spans="1:1" x14ac:dyDescent="0.25">
      <c r="A66" t="str">
        <f>CONCATENATE("{ """,Table!A68,""",",IF(LEN(Table!A68)=0,"   ",IF(LEN(Table!A68)=1,"  "," ")),"""",Table!B68,""",",IF(LEN(Table!B68)=0,"       ",IF(LEN(Table!B68)=1,"      ",IF(LEN(Table!B68)=2,"     ",IF(LEN(Table!B68)=3,"    ",IF(LEN(Table!B68)=4,"   ",IF(LEN(Table!B68)=5,"  "," ")))))),"0x",Table!F68,", ",Table!J68,",",IF(OR((Table!J68="U16"),(Table!J68="S16")),"  "," "),Table!I68,", ",Table!K68,IF(Table!C68&lt;10,", ""  ",IF(Table!C68&lt;100,", "" ",", """)),Table!C68," ",Table!H68,""" },")</f>
        <v>{ "",   "",       0x0082, U16,  RO, CXX, " 65 " },</v>
      </c>
    </row>
    <row r="67" spans="1:1" x14ac:dyDescent="0.25">
      <c r="A67" t="str">
        <f>CONCATENATE("{ """,Table!A69,""",",IF(LEN(Table!A69)=0,"   ",IF(LEN(Table!A69)=1,"  "," ")),"""",Table!B69,""",",IF(LEN(Table!B69)=0,"       ",IF(LEN(Table!B69)=1,"      ",IF(LEN(Table!B69)=2,"     ",IF(LEN(Table!B69)=3,"    ",IF(LEN(Table!B69)=4,"   ",IF(LEN(Table!B69)=5,"  "," ")))))),"0x",Table!F69,", ",Table!J69,",",IF(OR((Table!J69="U16"),(Table!J69="S16")),"  "," "),Table!I69,", ",Table!K69,IF(Table!C69&lt;10,", ""  ",IF(Table!C69&lt;100,", "" ",", """)),Table!C69," ",Table!H69,""" },")</f>
        <v>{ "",   "",       0x0084, S16,  RW, CSX, " 66 " },</v>
      </c>
    </row>
    <row r="68" spans="1:1" x14ac:dyDescent="0.25">
      <c r="A68" t="str">
        <f>CONCATENATE("{ """,Table!A70,""",",IF(LEN(Table!A70)=0,"   ",IF(LEN(Table!A70)=1,"  "," ")),"""",Table!B70,""",",IF(LEN(Table!B70)=0,"       ",IF(LEN(Table!B70)=1,"      ",IF(LEN(Table!B70)=2,"     ",IF(LEN(Table!B70)=3,"    ",IF(LEN(Table!B70)=4,"   ",IF(LEN(Table!B70)=5,"  "," ")))))),"0x",Table!F70,", ",Table!J70,",",IF(OR((Table!J70="U16"),(Table!J70="S16")),"  "," "),Table!I70,", ",Table!K70,IF(Table!C70&lt;10,", ""  ",IF(Table!C70&lt;100,", "" ",", """)),Table!C70," ",Table!H70,""" },")</f>
        <v>{ "",   "",       0x0086, S16,  RW, CSX, " 67 " },</v>
      </c>
    </row>
    <row r="69" spans="1:1" x14ac:dyDescent="0.25">
      <c r="A69" t="str">
        <f>CONCATENATE("{ """,Table!A71,""",",IF(LEN(Table!A71)=0,"   ",IF(LEN(Table!A71)=1,"  "," ")),"""",Table!B71,""",",IF(LEN(Table!B71)=0,"       ",IF(LEN(Table!B71)=1,"      ",IF(LEN(Table!B71)=2,"     ",IF(LEN(Table!B71)=3,"    ",IF(LEN(Table!B71)=4,"   ",IF(LEN(Table!B71)=5,"  "," ")))))),"0x",Table!F71,", ",Table!J71,",",IF(OR((Table!J71="U16"),(Table!J71="S16")),"  "," "),Table!I71,", ",Table!K71,IF(Table!C71&lt;10,", ""  ",IF(Table!C71&lt;100,", "" ",", """)),Table!C71," ",Table!H71,""" },")</f>
        <v>{ "",   "",       0x0088, S16,  RW, CSX, " 68 " },</v>
      </c>
    </row>
    <row r="70" spans="1:1" x14ac:dyDescent="0.25">
      <c r="A70" t="str">
        <f>CONCATENATE("{ """,Table!A72,""",",IF(LEN(Table!A72)=0,"   ",IF(LEN(Table!A72)=1,"  "," ")),"""",Table!B72,""",",IF(LEN(Table!B72)=0,"       ",IF(LEN(Table!B72)=1,"      ",IF(LEN(Table!B72)=2,"     ",IF(LEN(Table!B72)=3,"    ",IF(LEN(Table!B72)=4,"   ",IF(LEN(Table!B72)=5,"  "," ")))))),"0x",Table!F72,", ",Table!J72,",",IF(OR((Table!J72="U16"),(Table!J72="S16")),"  "," "),Table!I72,", ",Table!K72,IF(Table!C72&lt;10,", ""  ",IF(Table!C72&lt;100,", "" ",", """)),Table!C72," ",Table!H72,""" },")</f>
        <v>{ "",   "",       0x008A, S16,  RW, CSX, " 69 " },</v>
      </c>
    </row>
    <row r="71" spans="1:1" x14ac:dyDescent="0.25">
      <c r="A71" t="str">
        <f>CONCATENATE("{ """,Table!A73,""",",IF(LEN(Table!A73)=0,"   ",IF(LEN(Table!A73)=1,"  "," ")),"""",Table!B73,""",",IF(LEN(Table!B73)=0,"       ",IF(LEN(Table!B73)=1,"      ",IF(LEN(Table!B73)=2,"     ",IF(LEN(Table!B73)=3,"    ",IF(LEN(Table!B73)=4,"   ",IF(LEN(Table!B73)=5,"  "," ")))))),"0x",Table!F73,", ",Table!J73,",",IF(OR((Table!J73="U16"),(Table!J73="S16")),"  "," "),Table!I73,", ",Table!K73,IF(Table!C73&lt;10,", ""  ",IF(Table!C73&lt;100,", "" ",", """)),Table!C73," ",Table!H73,""" },")</f>
        <v>{ "",   "",       0x008C, S16,  RW, CSX, " 70 " },</v>
      </c>
    </row>
    <row r="72" spans="1:1" x14ac:dyDescent="0.25">
      <c r="A72" t="str">
        <f>CONCATENATE("{ """,Table!A74,""",",IF(LEN(Table!A74)=0,"   ",IF(LEN(Table!A74)=1,"  "," ")),"""",Table!B74,""",",IF(LEN(Table!B74)=0,"       ",IF(LEN(Table!B74)=1,"      ",IF(LEN(Table!B74)=2,"     ",IF(LEN(Table!B74)=3,"    ",IF(LEN(Table!B74)=4,"   ",IF(LEN(Table!B74)=5,"  "," ")))))),"0x",Table!F74,", ",Table!J74,",",IF(OR((Table!J74="U16"),(Table!J74="S16")),"  "," "),Table!I74,", ",Table!K74,IF(Table!C74&lt;10,", ""  ",IF(Table!C74&lt;100,", "" ",", """)),Table!C74," ",Table!H74,""" },")</f>
        <v>{ "",   "",       0x008E, S16,  RW, CSX, " 71 " },</v>
      </c>
    </row>
    <row r="73" spans="1:1" x14ac:dyDescent="0.25">
      <c r="A73" t="str">
        <f>CONCATENATE("{ """,Table!A75,""",",IF(LEN(Table!A75)=0,"   ",IF(LEN(Table!A75)=1,"  "," ")),"""",Table!B75,""",",IF(LEN(Table!B75)=0,"       ",IF(LEN(Table!B75)=1,"      ",IF(LEN(Table!B75)=2,"     ",IF(LEN(Table!B75)=3,"    ",IF(LEN(Table!B75)=4,"   ",IF(LEN(Table!B75)=5,"  "," ")))))),"0x",Table!F75,", ",Table!J75,",",IF(OR((Table!J75="U16"),(Table!J75="S16")),"  "," "),Table!I75,", ",Table!K75,IF(Table!C75&lt;10,", ""  ",IF(Table!C75&lt;100,", "" ",", """)),Table!C75," ",Table!H75,""" },")</f>
        <v>{ "",   "",       0x0090, S16,  RW, CSX, " 72 " },</v>
      </c>
    </row>
    <row r="74" spans="1:1" x14ac:dyDescent="0.25">
      <c r="A74" t="str">
        <f>CONCATENATE("{ """,Table!A76,""",",IF(LEN(Table!A76)=0,"   ",IF(LEN(Table!A76)=1,"  "," ")),"""",Table!B76,""",",IF(LEN(Table!B76)=0,"       ",IF(LEN(Table!B76)=1,"      ",IF(LEN(Table!B76)=2,"     ",IF(LEN(Table!B76)=3,"    ",IF(LEN(Table!B76)=4,"   ",IF(LEN(Table!B76)=5,"  "," ")))))),"0x",Table!F76,", ",Table!J76,",",IF(OR((Table!J76="U16"),(Table!J76="S16")),"  "," "),Table!I76,", ",Table!K76,IF(Table!C76&lt;10,", ""  ",IF(Table!C76&lt;100,", "" ",", """)),Table!C76," ",Table!H76,""" },")</f>
        <v>{ "",   "",       0x0092, S16,  RW, CSX, " 73 " },</v>
      </c>
    </row>
    <row r="75" spans="1:1" x14ac:dyDescent="0.25">
      <c r="A75" t="str">
        <f>CONCATENATE("{ """,Table!A77,""",",IF(LEN(Table!A77)=0,"   ",IF(LEN(Table!A77)=1,"  "," ")),"""",Table!B77,""",",IF(LEN(Table!B77)=0,"       ",IF(LEN(Table!B77)=1,"      ",IF(LEN(Table!B77)=2,"     ",IF(LEN(Table!B77)=3,"    ",IF(LEN(Table!B77)=4,"   ",IF(LEN(Table!B77)=5,"  "," ")))))),"0x",Table!F77,", ",Table!J77,",",IF(OR((Table!J77="U16"),(Table!J77="S16")),"  "," "),Table!I77,", ",Table!K77,IF(Table!C77&lt;10,", ""  ",IF(Table!C77&lt;100,", "" ",", """)),Table!C77," ",Table!H77,""" },")</f>
        <v>{ "",   "",       0x0094, S16,  RW, CSX, " 74 " },</v>
      </c>
    </row>
    <row r="76" spans="1:1" x14ac:dyDescent="0.25">
      <c r="A76" t="str">
        <f>CONCATENATE("{ """,Table!A78,""",",IF(LEN(Table!A78)=0,"   ",IF(LEN(Table!A78)=1,"  "," ")),"""",Table!B78,""",",IF(LEN(Table!B78)=0,"       ",IF(LEN(Table!B78)=1,"      ",IF(LEN(Table!B78)=2,"     ",IF(LEN(Table!B78)=3,"    ",IF(LEN(Table!B78)=4,"   ",IF(LEN(Table!B78)=5,"  "," ")))))),"0x",Table!F78,", ",Table!J78,",",IF(OR((Table!J78="U16"),(Table!J78="S16")),"  "," "),Table!I78,", ",Table!K78,IF(Table!C78&lt;10,", ""  ",IF(Table!C78&lt;100,", "" ",", """)),Table!C78," ",Table!H78,""" },")</f>
        <v>{ "",   "",       0x0096, S16,  RW, CSX, " 75 " },</v>
      </c>
    </row>
    <row r="77" spans="1:1" x14ac:dyDescent="0.25">
      <c r="A77" t="str">
        <f>CONCATENATE("{ """,Table!A79,""",",IF(LEN(Table!A79)=0,"   ",IF(LEN(Table!A79)=1,"  "," ")),"""",Table!B79,""",",IF(LEN(Table!B79)=0,"       ",IF(LEN(Table!B79)=1,"      ",IF(LEN(Table!B79)=2,"     ",IF(LEN(Table!B79)=3,"    ",IF(LEN(Table!B79)=4,"   ",IF(LEN(Table!B79)=5,"  "," ")))))),"0x",Table!F79,", ",Table!J79,",",IF(OR((Table!J79="U16"),(Table!J79="S16")),"  "," "),Table!I79,", ",Table!K79,IF(Table!C79&lt;10,", ""  ",IF(Table!C79&lt;100,", "" ",", """)),Table!C79," ",Table!H79,""" },")</f>
        <v>{ "",   "",       0x0098, S16,  RW, CSX, " 76 " },</v>
      </c>
    </row>
    <row r="78" spans="1:1" x14ac:dyDescent="0.25">
      <c r="A78" t="str">
        <f>CONCATENATE("{ """,Table!A80,""",",IF(LEN(Table!A80)=0,"   ",IF(LEN(Table!A80)=1,"  "," ")),"""",Table!B80,""",",IF(LEN(Table!B80)=0,"       ",IF(LEN(Table!B80)=1,"      ",IF(LEN(Table!B80)=2,"     ",IF(LEN(Table!B80)=3,"    ",IF(LEN(Table!B80)=4,"   ",IF(LEN(Table!B80)=5,"  "," ")))))),"0x",Table!F80,", ",Table!J80,",",IF(OR((Table!J80="U16"),(Table!J80="S16")),"  "," "),Table!I80,", ",Table!K80,IF(Table!C80&lt;10,", ""  ",IF(Table!C80&lt;100,", "" ",", """)),Table!C80," ",Table!H80,""" },")</f>
        <v>{ "",   "",       0x009A, S16,  RW, CSX, " 77 " },</v>
      </c>
    </row>
    <row r="79" spans="1:1" x14ac:dyDescent="0.25">
      <c r="A79" t="str">
        <f>CONCATENATE("{ """,Table!A81,""",",IF(LEN(Table!A81)=0,"   ",IF(LEN(Table!A81)=1,"  "," ")),"""",Table!B81,""",",IF(LEN(Table!B81)=0,"       ",IF(LEN(Table!B81)=1,"      ",IF(LEN(Table!B81)=2,"     ",IF(LEN(Table!B81)=3,"    ",IF(LEN(Table!B81)=4,"   ",IF(LEN(Table!B81)=5,"  "," ")))))),"0x",Table!F81,", ",Table!J81,",",IF(OR((Table!J81="U16"),(Table!J81="S16")),"  "," "),Table!I81,", ",Table!K81,IF(Table!C81&lt;10,", ""  ",IF(Table!C81&lt;100,", "" ",", """)),Table!C81," ",Table!H81,""" },")</f>
        <v>{ "",   "",       0x009C, S16,  RW, CSX, " 78 " },</v>
      </c>
    </row>
    <row r="80" spans="1:1" x14ac:dyDescent="0.25">
      <c r="A80" t="str">
        <f>CONCATENATE("{ """,Table!A82,""",",IF(LEN(Table!A82)=0,"   ",IF(LEN(Table!A82)=1,"  "," ")),"""",Table!B82,""",",IF(LEN(Table!B82)=0,"       ",IF(LEN(Table!B82)=1,"      ",IF(LEN(Table!B82)=2,"     ",IF(LEN(Table!B82)=3,"    ",IF(LEN(Table!B82)=4,"   ",IF(LEN(Table!B82)=5,"  "," ")))))),"0x",Table!F82,", ",Table!J82,",",IF(OR((Table!J82="U16"),(Table!J82="S16")),"  "," "),Table!I82,", ",Table!K82,IF(Table!C82&lt;10,", ""  ",IF(Table!C82&lt;100,", "" ",", """)),Table!C82," ",Table!H82,""" },")</f>
        <v>{ "",   "",       0x009E, S16,  RW, CSX, " 79 " },</v>
      </c>
    </row>
    <row r="81" spans="1:1" x14ac:dyDescent="0.25">
      <c r="A81" t="str">
        <f>CONCATENATE("{ """,Table!A83,""",",IF(LEN(Table!A83)=0,"   ",IF(LEN(Table!A83)=1,"  "," ")),"""",Table!B83,""",",IF(LEN(Table!B83)=0,"       ",IF(LEN(Table!B83)=1,"      ",IF(LEN(Table!B83)=2,"     ",IF(LEN(Table!B83)=3,"    ",IF(LEN(Table!B83)=4,"   ",IF(LEN(Table!B83)=5,"  "," ")))))),"0x",Table!F83,", ",Table!J83,",",IF(OR((Table!J83="U16"),(Table!J83="S16")),"  "," "),Table!I83,", ",Table!K83,IF(Table!C83&lt;10,", ""  ",IF(Table!C83&lt;100,", "" ",", """)),Table!C83," ",Table!H83,""" },")</f>
        <v>{ "",   "",       0x00A0, S16,  RW, CSX, " 80 " },</v>
      </c>
    </row>
    <row r="82" spans="1:1" x14ac:dyDescent="0.25">
      <c r="A82" t="str">
        <f>CONCATENATE("{ """,Table!A84,""",",IF(LEN(Table!A84)=0,"   ",IF(LEN(Table!A84)=1,"  "," ")),"""",Table!B84,""",",IF(LEN(Table!B84)=0,"       ",IF(LEN(Table!B84)=1,"      ",IF(LEN(Table!B84)=2,"     ",IF(LEN(Table!B84)=3,"    ",IF(LEN(Table!B84)=4,"   ",IF(LEN(Table!B84)=5,"  "," ")))))),"0x",Table!F84,", ",Table!J84,",",IF(OR((Table!J84="U16"),(Table!J84="S16")),"  "," "),Table!I84,", ",Table!K84,IF(Table!C84&lt;10,", ""  ",IF(Table!C84&lt;100,", "" ",", """)),Table!C84," ",Table!H84,""" },")</f>
        <v>{ "",   "",       0x00A2, S16,  RW, CSX, " 81 " },</v>
      </c>
    </row>
    <row r="83" spans="1:1" x14ac:dyDescent="0.25">
      <c r="A83" t="str">
        <f>CONCATENATE("{ """,Table!A85,""",",IF(LEN(Table!A85)=0,"   ",IF(LEN(Table!A85)=1,"  "," ")),"""",Table!B85,""",",IF(LEN(Table!B85)=0,"       ",IF(LEN(Table!B85)=1,"      ",IF(LEN(Table!B85)=2,"     ",IF(LEN(Table!B85)=3,"    ",IF(LEN(Table!B85)=4,"   ",IF(LEN(Table!B85)=5,"  "," ")))))),"0x",Table!F85,", ",Table!J85,",",IF(OR((Table!J85="U16"),(Table!J85="S16")),"  "," "),Table!I85,", ",Table!K85,IF(Table!C85&lt;10,", ""  ",IF(Table!C85&lt;100,", "" ",", """)),Table!C85," ",Table!H85,""" },")</f>
        <v>{ "",   "",       0x00A4, S16,  RW, CSX, " 82 " },</v>
      </c>
    </row>
    <row r="84" spans="1:1" x14ac:dyDescent="0.25">
      <c r="A84" t="str">
        <f>CONCATENATE("{ """,Table!A86,""",",IF(LEN(Table!A86)=0,"   ",IF(LEN(Table!A86)=1,"  "," ")),"""",Table!B86,""",",IF(LEN(Table!B86)=0,"       ",IF(LEN(Table!B86)=1,"      ",IF(LEN(Table!B86)=2,"     ",IF(LEN(Table!B86)=3,"    ",IF(LEN(Table!B86)=4,"   ",IF(LEN(Table!B86)=5,"  "," ")))))),"0x",Table!F86,", ",Table!J86,",",IF(OR((Table!J86="U16"),(Table!J86="S16")),"  "," "),Table!I86,", ",Table!K86,IF(Table!C86&lt;10,", ""  ",IF(Table!C86&lt;100,", "" ",", """)),Table!C86," ",Table!H86,""" },")</f>
        <v>{ "",   "",       0x00A6, S16,  RW, CSX, " 83 " },</v>
      </c>
    </row>
    <row r="85" spans="1:1" x14ac:dyDescent="0.25">
      <c r="A85" t="str">
        <f>CONCATENATE("{ """,Table!A87,""",",IF(LEN(Table!A87)=0,"   ",IF(LEN(Table!A87)=1,"  "," ")),"""",Table!B87,""",",IF(LEN(Table!B87)=0,"       ",IF(LEN(Table!B87)=1,"      ",IF(LEN(Table!B87)=2,"     ",IF(LEN(Table!B87)=3,"    ",IF(LEN(Table!B87)=4,"   ",IF(LEN(Table!B87)=5,"  "," ")))))),"0x",Table!F87,", ",Table!J87,",",IF(OR((Table!J87="U16"),(Table!J87="S16")),"  "," "),Table!I87,", ",Table!K87,IF(Table!C87&lt;10,", ""  ",IF(Table!C87&lt;100,", "" ",", """)),Table!C87," ",Table!H87,""" },")</f>
        <v>{ "",   "",       0x00A8, S16,  RW, CSX, " 84 " },</v>
      </c>
    </row>
    <row r="86" spans="1:1" x14ac:dyDescent="0.25">
      <c r="A86" t="str">
        <f>CONCATENATE("{ """,Table!A88,""",",IF(LEN(Table!A88)=0,"   ",IF(LEN(Table!A88)=1,"  "," ")),"""",Table!B88,""",",IF(LEN(Table!B88)=0,"       ",IF(LEN(Table!B88)=1,"      ",IF(LEN(Table!B88)=2,"     ",IF(LEN(Table!B88)=3,"    ",IF(LEN(Table!B88)=4,"   ",IF(LEN(Table!B88)=5,"  "," ")))))),"0x",Table!F88,", ",Table!J88,",",IF(OR((Table!J88="U16"),(Table!J88="S16")),"  "," "),Table!I88,", ",Table!K88,IF(Table!C88&lt;10,", ""  ",IF(Table!C88&lt;100,", "" ",", """)),Table!C88," ",Table!H88,""" },")</f>
        <v>{ "",   "",       0x00AA, S16,  RW, CSX, " 85 " },</v>
      </c>
    </row>
    <row r="87" spans="1:1" x14ac:dyDescent="0.25">
      <c r="A87" t="str">
        <f>CONCATENATE("{ """,Table!A89,""",",IF(LEN(Table!A89)=0,"   ",IF(LEN(Table!A89)=1,"  "," ")),"""",Table!B89,""",",IF(LEN(Table!B89)=0,"       ",IF(LEN(Table!B89)=1,"      ",IF(LEN(Table!B89)=2,"     ",IF(LEN(Table!B89)=3,"    ",IF(LEN(Table!B89)=4,"   ",IF(LEN(Table!B89)=5,"  "," ")))))),"0x",Table!F89,", ",Table!J89,",",IF(OR((Table!J89="U16"),(Table!J89="S16")),"  "," "),Table!I89,", ",Table!K89,IF(Table!C89&lt;10,", ""  ",IF(Table!C89&lt;100,", "" ",", """)),Table!C89," ",Table!H89,""" },")</f>
        <v>{ "",   "",       0x00AC, S16,  RW, CSX, " 86 " },</v>
      </c>
    </row>
    <row r="88" spans="1:1" x14ac:dyDescent="0.25">
      <c r="A88" t="str">
        <f>CONCATENATE("{ """,Table!A90,""",",IF(LEN(Table!A90)=0,"   ",IF(LEN(Table!A90)=1,"  "," ")),"""",Table!B90,""",",IF(LEN(Table!B90)=0,"       ",IF(LEN(Table!B90)=1,"      ",IF(LEN(Table!B90)=2,"     ",IF(LEN(Table!B90)=3,"    ",IF(LEN(Table!B90)=4,"   ",IF(LEN(Table!B90)=5,"  "," ")))))),"0x",Table!F90,", ",Table!J90,",",IF(OR((Table!J90="U16"),(Table!J90="S16")),"  "," "),Table!I90,", ",Table!K90,IF(Table!C90&lt;10,", ""  ",IF(Table!C90&lt;100,", "" ",", """)),Table!C90," ",Table!H90,""" },")</f>
        <v>{ "",   "",       0x00AE, S16,  RW, CSX, " 87 " },</v>
      </c>
    </row>
    <row r="89" spans="1:1" x14ac:dyDescent="0.25">
      <c r="A89" t="str">
        <f>CONCATENATE("{ """,Table!A91,""",",IF(LEN(Table!A91)=0,"   ",IF(LEN(Table!A91)=1,"  "," ")),"""",Table!B91,""",",IF(LEN(Table!B91)=0,"       ",IF(LEN(Table!B91)=1,"      ",IF(LEN(Table!B91)=2,"     ",IF(LEN(Table!B91)=3,"    ",IF(LEN(Table!B91)=4,"   ",IF(LEN(Table!B91)=5,"  "," ")))))),"0x",Table!F91,", ",Table!J91,",",IF(OR((Table!J91="U16"),(Table!J91="S16")),"  "," "),Table!I91,", ",Table!K91,IF(Table!C91&lt;10,", ""  ",IF(Table!C91&lt;100,", "" ",", """)),Table!C91," ",Table!H91,""" },")</f>
        <v>{ "",   "",       0x00B0, S16,  RW, CSX, " 88 " },</v>
      </c>
    </row>
    <row r="90" spans="1:1" x14ac:dyDescent="0.25">
      <c r="A90" t="str">
        <f>CONCATENATE("{ """,Table!A92,""",",IF(LEN(Table!A92)=0,"   ",IF(LEN(Table!A92)=1,"  "," ")),"""",Table!B92,""",",IF(LEN(Table!B92)=0,"       ",IF(LEN(Table!B92)=1,"      ",IF(LEN(Table!B92)=2,"     ",IF(LEN(Table!B92)=3,"    ",IF(LEN(Table!B92)=4,"   ",IF(LEN(Table!B92)=5,"  "," ")))))),"0x",Table!F92,", ",Table!J92,",",IF(OR((Table!J92="U16"),(Table!J92="S16")),"  "," "),Table!I92,", ",Table!K92,IF(Table!C92&lt;10,", ""  ",IF(Table!C92&lt;100,", "" ",", """)),Table!C92," ",Table!H92,""" },")</f>
        <v>{ "",   "",       0x00B2, S16,  RW, CSX, " 89 " },</v>
      </c>
    </row>
    <row r="91" spans="1:1" x14ac:dyDescent="0.25">
      <c r="A91" t="str">
        <f>CONCATENATE("{ """,Table!A93,""",",IF(LEN(Table!A93)=0,"   ",IF(LEN(Table!A93)=1,"  "," ")),"""",Table!B93,""",",IF(LEN(Table!B93)=0,"       ",IF(LEN(Table!B93)=1,"      ",IF(LEN(Table!B93)=2,"     ",IF(LEN(Table!B93)=3,"    ",IF(LEN(Table!B93)=4,"   ",IF(LEN(Table!B93)=5,"  "," ")))))),"0x",Table!F93,", ",Table!J93,",",IF(OR((Table!J93="U16"),(Table!J93="S16")),"  "," "),Table!I93,", ",Table!K93,IF(Table!C93&lt;10,", ""  ",IF(Table!C93&lt;100,", "" ",", """)),Table!C93," ",Table!H93,""" },")</f>
        <v>{ "",   "",       0x00B4, S16,  RW, CSX, " 90 " },</v>
      </c>
    </row>
    <row r="92" spans="1:1" x14ac:dyDescent="0.25">
      <c r="A92" t="str">
        <f>CONCATENATE("{ """,Table!A94,""",",IF(LEN(Table!A94)=0,"   ",IF(LEN(Table!A94)=1,"  "," ")),"""",Table!B94,""",",IF(LEN(Table!B94)=0,"       ",IF(LEN(Table!B94)=1,"      ",IF(LEN(Table!B94)=2,"     ",IF(LEN(Table!B94)=3,"    ",IF(LEN(Table!B94)=4,"   ",IF(LEN(Table!B94)=5,"  "," ")))))),"0x",Table!F94,", ",Table!J94,",",IF(OR((Table!J94="U16"),(Table!J94="S16")),"  "," "),Table!I94,", ",Table!K94,IF(Table!C94&lt;10,", ""  ",IF(Table!C94&lt;100,", "" ",", """)),Table!C94," ",Table!H94,""" },")</f>
        <v>{ "",   "",       0x00B6, S16,  RW, CSX, " 91 " },</v>
      </c>
    </row>
    <row r="93" spans="1:1" x14ac:dyDescent="0.25">
      <c r="A93" t="str">
        <f>CONCATENATE("{ """,Table!A95,""",",IF(LEN(Table!A95)=0,"   ",IF(LEN(Table!A95)=1,"  "," ")),"""",Table!B95,""",",IF(LEN(Table!B95)=0,"       ",IF(LEN(Table!B95)=1,"      ",IF(LEN(Table!B95)=2,"     ",IF(LEN(Table!B95)=3,"    ",IF(LEN(Table!B95)=4,"   ",IF(LEN(Table!B95)=5,"  "," ")))))),"0x",Table!F95,", ",Table!J95,",",IF(OR((Table!J95="U16"),(Table!J95="S16")),"  "," "),Table!I95,", ",Table!K95,IF(Table!C95&lt;10,", ""  ",IF(Table!C95&lt;100,", "" ",", """)),Table!C95," ",Table!H95,""" },")</f>
        <v>{ "",   "",       0x00B8, S16,  RW, CSX, " 92 " },</v>
      </c>
    </row>
    <row r="94" spans="1:1" x14ac:dyDescent="0.25">
      <c r="A94" t="str">
        <f>CONCATENATE("{ """,Table!A96,""",",IF(LEN(Table!A96)=0,"   ",IF(LEN(Table!A96)=1,"  "," ")),"""",Table!B96,""",",IF(LEN(Table!B96)=0,"       ",IF(LEN(Table!B96)=1,"      ",IF(LEN(Table!B96)=2,"     ",IF(LEN(Table!B96)=3,"    ",IF(LEN(Table!B96)=4,"   ",IF(LEN(Table!B96)=5,"  "," ")))))),"0x",Table!F96,", ",Table!J96,",",IF(OR((Table!J96="U16"),(Table!J96="S16")),"  "," "),Table!I96,", ",Table!K96,IF(Table!C96&lt;10,", ""  ",IF(Table!C96&lt;100,", "" ",", """)),Table!C96," ",Table!H96,""" },")</f>
        <v>{ "",   "",       0x00BA, S16,  RW, CSX, " 93 " },</v>
      </c>
    </row>
    <row r="95" spans="1:1" x14ac:dyDescent="0.25">
      <c r="A95" t="str">
        <f>CONCATENATE("{ """,Table!A97,""",",IF(LEN(Table!A97)=0,"   ",IF(LEN(Table!A97)=1,"  "," ")),"""",Table!B97,""",",IF(LEN(Table!B97)=0,"       ",IF(LEN(Table!B97)=1,"      ",IF(LEN(Table!B97)=2,"     ",IF(LEN(Table!B97)=3,"    ",IF(LEN(Table!B97)=4,"   ",IF(LEN(Table!B97)=5,"  "," ")))))),"0x",Table!F97,", ",Table!J97,",",IF(OR((Table!J97="U16"),(Table!J97="S16")),"  "," "),Table!I97,", ",Table!K97,IF(Table!C97&lt;10,", ""  ",IF(Table!C97&lt;100,", "" ",", """)),Table!C97," ",Table!H97,""" },")</f>
        <v>{ "",   "",       0x00BC, S16,  RW, CSX, " 94 " },</v>
      </c>
    </row>
    <row r="96" spans="1:1" x14ac:dyDescent="0.25">
      <c r="A96" t="str">
        <f>CONCATENATE("{ """,Table!A98,""",",IF(LEN(Table!A98)=0,"   ",IF(LEN(Table!A98)=1,"  "," ")),"""",Table!B98,""",",IF(LEN(Table!B98)=0,"       ",IF(LEN(Table!B98)=1,"      ",IF(LEN(Table!B98)=2,"     ",IF(LEN(Table!B98)=3,"    ",IF(LEN(Table!B98)=4,"   ",IF(LEN(Table!B98)=5,"  "," ")))))),"0x",Table!F98,", ",Table!J98,",",IF(OR((Table!J98="U16"),(Table!J98="S16")),"  "," "),Table!I98,", ",Table!K98,IF(Table!C98&lt;10,", ""  ",IF(Table!C98&lt;100,", "" ",", """)),Table!C98," ",Table!H98,""" },")</f>
        <v>{ "",   "",       0x00BE, S16,  RW, CSX, " 95 " },</v>
      </c>
    </row>
    <row r="97" spans="1:1" x14ac:dyDescent="0.25">
      <c r="A97" t="str">
        <f>CONCATENATE("{ """,Table!A99,""",",IF(LEN(Table!A99)=0,"   ",IF(LEN(Table!A99)=1,"  "," ")),"""",Table!B99,""",",IF(LEN(Table!B99)=0,"       ",IF(LEN(Table!B99)=1,"      ",IF(LEN(Table!B99)=2,"     ",IF(LEN(Table!B99)=3,"    ",IF(LEN(Table!B99)=4,"   ",IF(LEN(Table!B99)=5,"  "," ")))))),"0x",Table!F99,", ",Table!J99,",",IF(OR((Table!J99="U16"),(Table!J99="S16")),"  "," "),Table!I99,", ",Table!K99,IF(Table!C99&lt;10,", ""  ",IF(Table!C99&lt;100,", "" ",", """)),Table!C99," ",Table!H99,""" },")</f>
        <v>{ "",   "",       0x00C0, S16,  RW, CSX, " 96 " },</v>
      </c>
    </row>
    <row r="98" spans="1:1" x14ac:dyDescent="0.25">
      <c r="A98" t="str">
        <f>CONCATENATE("{ """,Table!A100,""",",IF(LEN(Table!A100)=0,"   ",IF(LEN(Table!A100)=1,"  "," ")),"""",Table!B100,""",",IF(LEN(Table!B100)=0,"       ",IF(LEN(Table!B100)=1,"      ",IF(LEN(Table!B100)=2,"     ",IF(LEN(Table!B100)=3,"    ",IF(LEN(Table!B100)=4,"   ",IF(LEN(Table!B100)=5,"  "," ")))))),"0x",Table!F100,", ",Table!J100,",",IF(OR((Table!J100="U16"),(Table!J100="S16")),"  "," "),Table!I100,", ",Table!K100,IF(Table!C100&lt;10,", ""  ",IF(Table!C100&lt;100,", "" ",", """)),Table!C100," ",Table!H100,""" },")</f>
        <v>{ "",   "",       0x00C2, S16,  RW, CSX, " 97 " },</v>
      </c>
    </row>
    <row r="99" spans="1:1" x14ac:dyDescent="0.25">
      <c r="A99" t="str">
        <f>CONCATENATE("{ """,Table!A101,""",",IF(LEN(Table!A101)=0,"   ",IF(LEN(Table!A101)=1,"  "," ")),"""",Table!B101,""",",IF(LEN(Table!B101)=0,"       ",IF(LEN(Table!B101)=1,"      ",IF(LEN(Table!B101)=2,"     ",IF(LEN(Table!B101)=3,"    ",IF(LEN(Table!B101)=4,"   ",IF(LEN(Table!B101)=5,"  "," ")))))),"0x",Table!F101,", ",Table!J101,",",IF(OR((Table!J101="U16"),(Table!J101="S16")),"  "," "),Table!I101,", ",Table!K101,IF(Table!C101&lt;10,", ""  ",IF(Table!C101&lt;100,", "" ",", """)),Table!C101," ",Table!H101,""" },")</f>
        <v>{ "",   "",       0x00C4, S16,  RO, CSX, " 98 " },</v>
      </c>
    </row>
    <row r="100" spans="1:1" x14ac:dyDescent="0.25">
      <c r="A100" t="str">
        <f>CONCATENATE("{ """,Table!A102,""",",IF(LEN(Table!A102)=0,"   ",IF(LEN(Table!A102)=1,"  "," ")),"""",Table!B102,""",",IF(LEN(Table!B102)=0,"       ",IF(LEN(Table!B102)=1,"      ",IF(LEN(Table!B102)=2,"     ",IF(LEN(Table!B102)=3,"    ",IF(LEN(Table!B102)=4,"   ",IF(LEN(Table!B102)=5,"  "," ")))))),"0x",Table!F102,", ",Table!J102,",",IF(OR((Table!J102="U16"),(Table!J102="S16")),"  "," "),Table!I102,", ",Table!K102,IF(Table!C102&lt;10,", ""  ",IF(Table!C102&lt;100,", "" ",", """)),Table!C102," ",Table!H102,""" },")</f>
        <v>{ "",   "",       0x00C6, U16,  RW, CSX, " 99 " },</v>
      </c>
    </row>
    <row r="101" spans="1:1" x14ac:dyDescent="0.25">
      <c r="A101" t="str">
        <f>CONCATENATE("{ """,Table!A103,""",",IF(LEN(Table!A103)=0,"   ",IF(LEN(Table!A103)=1,"  "," ")),"""",Table!B103,""",",IF(LEN(Table!B103)=0,"       ",IF(LEN(Table!B103)=1,"      ",IF(LEN(Table!B103)=2,"     ",IF(LEN(Table!B103)=3,"    ",IF(LEN(Table!B103)=4,"   ",IF(LEN(Table!B103)=5,"  "," ")))))),"0x",Table!F103,", ",Table!J103,",",IF(OR((Table!J103="U16"),(Table!J103="S16")),"  "," "),Table!I103,", ",Table!K103,IF(Table!C103&lt;10,", ""  ",IF(Table!C103&lt;100,", "" ",", """)),Table!C103," ",Table!H103,""" },")</f>
        <v>{ "",   "",       0x00C8, U16,  RW, CSX, "100 " },</v>
      </c>
    </row>
    <row r="102" spans="1:1" x14ac:dyDescent="0.25">
      <c r="A102" t="str">
        <f>CONCATENATE("{ """,Table!A104,""",",IF(LEN(Table!A104)=0,"   ",IF(LEN(Table!A104)=1,"  "," ")),"""",Table!B104,""",",IF(LEN(Table!B104)=0,"       ",IF(LEN(Table!B104)=1,"      ",IF(LEN(Table!B104)=2,"     ",IF(LEN(Table!B104)=3,"    ",IF(LEN(Table!B104)=4,"   ",IF(LEN(Table!B104)=5,"  "," ")))))),"0x",Table!F104,", ",Table!J104,",",IF(OR((Table!J104="U16"),(Table!J104="S16")),"  "," "),Table!I104,", ",Table!K104,IF(Table!C104&lt;10,", ""  ",IF(Table!C104&lt;100,", "" ",", """)),Table!C104," ",Table!H104,""" },")</f>
        <v>{ "",   "",       0x00CA, U16,  RW, CSX, "101 " },</v>
      </c>
    </row>
    <row r="103" spans="1:1" x14ac:dyDescent="0.25">
      <c r="A103" t="str">
        <f>CONCATENATE("{ """,Table!A105,""",",IF(LEN(Table!A105)=0,"   ",IF(LEN(Table!A105)=1,"  "," ")),"""",Table!B105,""",",IF(LEN(Table!B105)=0,"       ",IF(LEN(Table!B105)=1,"      ",IF(LEN(Table!B105)=2,"     ",IF(LEN(Table!B105)=3,"    ",IF(LEN(Table!B105)=4,"   ",IF(LEN(Table!B105)=5,"  "," ")))))),"0x",Table!F105,", ",Table!J105,",",IF(OR((Table!J105="U16"),(Table!J105="S16")),"  "," "),Table!I105,", ",Table!K105,IF(Table!C105&lt;10,", ""  ",IF(Table!C105&lt;100,", "" ",", """)),Table!C105," ",Table!H105,""" },")</f>
        <v>{ "",   "",       0x00CC, U16,  RW, CSX, "102 " },</v>
      </c>
    </row>
    <row r="104" spans="1:1" x14ac:dyDescent="0.25">
      <c r="A104" t="str">
        <f>CONCATENATE("{ """,Table!A106,""",",IF(LEN(Table!A106)=0,"   ",IF(LEN(Table!A106)=1,"  "," ")),"""",Table!B106,""",",IF(LEN(Table!B106)=0,"       ",IF(LEN(Table!B106)=1,"      ",IF(LEN(Table!B106)=2,"     ",IF(LEN(Table!B106)=3,"    ",IF(LEN(Table!B106)=4,"   ",IF(LEN(Table!B106)=5,"  "," ")))))),"0x",Table!F106,", ",Table!J106,",",IF(OR((Table!J106="U16"),(Table!J106="S16")),"  "," "),Table!I106,", ",Table!K106,IF(Table!C106&lt;10,", ""  ",IF(Table!C106&lt;100,", "" ",", """)),Table!C106," ",Table!H106,""" },")</f>
        <v>{ "",   "",       0x00CE, S16,  RW, CSX, "103 " },</v>
      </c>
    </row>
    <row r="105" spans="1:1" x14ac:dyDescent="0.25">
      <c r="A105" t="str">
        <f>CONCATENATE("{ """,Table!A107,""",",IF(LEN(Table!A107)=0,"   ",IF(LEN(Table!A107)=1,"  "," ")),"""",Table!B107,""",",IF(LEN(Table!B107)=0,"       ",IF(LEN(Table!B107)=1,"      ",IF(LEN(Table!B107)=2,"     ",IF(LEN(Table!B107)=3,"    ",IF(LEN(Table!B107)=4,"   ",IF(LEN(Table!B107)=5,"  "," ")))))),"0x",Table!F107,", ",Table!J107,",",IF(OR((Table!J107="U16"),(Table!J107="S16")),"  "," "),Table!I107,", ",Table!K107,IF(Table!C107&lt;10,", ""  ",IF(Table!C107&lt;100,", "" ",", """)),Table!C107," ",Table!H107,""" },")</f>
        <v>{ "",   "",       0x00D0, S16,  RW, CSX, "104 " },</v>
      </c>
    </row>
    <row r="106" spans="1:1" x14ac:dyDescent="0.25">
      <c r="A106" t="str">
        <f>CONCATENATE("{ """,Table!A108,""",",IF(LEN(Table!A108)=0,"   ",IF(LEN(Table!A108)=1,"  "," ")),"""",Table!B108,""",",IF(LEN(Table!B108)=0,"       ",IF(LEN(Table!B108)=1,"      ",IF(LEN(Table!B108)=2,"     ",IF(LEN(Table!B108)=3,"    ",IF(LEN(Table!B108)=4,"   ",IF(LEN(Table!B108)=5,"  "," ")))))),"0x",Table!F108,", ",Table!J108,",",IF(OR((Table!J108="U16"),(Table!J108="S16")),"  "," "),Table!I108,", ",Table!K108,IF(Table!C108&lt;10,", ""  ",IF(Table!C108&lt;100,", "" ",", """)),Table!C108," ",Table!H108,""" },")</f>
        <v>{ "",   "",       0x00D2, U16,  RO, CXX, "105 " },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6"/>
  <sheetViews>
    <sheetView workbookViewId="0">
      <selection activeCell="A9" sqref="A9"/>
    </sheetView>
  </sheetViews>
  <sheetFormatPr defaultRowHeight="15" x14ac:dyDescent="0.25"/>
  <cols>
    <col min="1" max="1" width="17" customWidth="1"/>
  </cols>
  <sheetData>
    <row r="1" spans="1:1" x14ac:dyDescent="0.25">
      <c r="A1" t="str">
        <f>IF(Table!I3="RO",CONCATENATE("     reg_ena","(",Table!D3,")"," &lt;= '1';","   ","reg_d(",Table!D3,") &lt;= x""FFFF"";"),CONCATENATE("     reg_ena","(",Table!D3,")"," &lt;= '1' when (LOAD = '1') and (shrt_addr = x""",DEC2HEX(Table!D3,2),""")"," else '0';","   ","reg_d(",Table!D3,") &lt;= DIN;"))</f>
        <v xml:space="preserve">     reg_ena(0) &lt;= '1' when (LOAD = '1') and (shrt_addr = x"00") else '0';   reg_d(0) &lt;= DIN;</v>
      </c>
    </row>
    <row r="2" spans="1:1" x14ac:dyDescent="0.25">
      <c r="A2" t="str">
        <f>IF(Table!I4="RO",CONCATENATE("     reg_ena","(",Table!D4,")"," &lt;= '1';","   ","reg_d(",Table!D4,") &lt;= x""FFFF"";"),CONCATENATE("     reg_ena","(",Table!D4,")"," &lt;= '1' when (LOAD = '1') and (shrt_addr = x""",DEC2HEX(Table!D4,2),""")"," else '0';","   ","reg_d(",Table!D4,") &lt;= DIN;"))</f>
        <v xml:space="preserve">     reg_ena(1) &lt;= '1' when (LOAD = '1') and (shrt_addr = x"01") else '0';   reg_d(1) &lt;= DIN;</v>
      </c>
    </row>
    <row r="3" spans="1:1" x14ac:dyDescent="0.25">
      <c r="A3" t="str">
        <f>IF(Table!I5="RO",CONCATENATE("     reg_ena","(",Table!D5,")"," &lt;= '1';","   ","reg_d(",Table!D5,") &lt;= x""FFFF"";"),CONCATENATE("     reg_ena","(",Table!D5,")"," &lt;= '1' when (LOAD = '1') and (shrt_addr = x""",DEC2HEX(Table!D5,2),""")"," else '0';","   ","reg_d(",Table!D5,") &lt;= DIN;"))</f>
        <v xml:space="preserve">     reg_ena(2) &lt;= '1';   reg_d(2) &lt;= x"FFFF";</v>
      </c>
    </row>
    <row r="4" spans="1:1" x14ac:dyDescent="0.25">
      <c r="A4" t="str">
        <f>IF(Table!I6="RO",CONCATENATE("     reg_ena","(",Table!D6,")"," &lt;= '1';","   ","reg_d(",Table!D6,") &lt;= x""FFFF"";"),CONCATENATE("     reg_ena","(",Table!D6,")"," &lt;= '1' when (LOAD = '1') and (shrt_addr = x""",DEC2HEX(Table!D6,2),""")"," else '0';","   ","reg_d(",Table!D6,") &lt;= DIN;"))</f>
        <v xml:space="preserve">     reg_ena(3) &lt;= '1';   reg_d(3) &lt;= x"FFFF";</v>
      </c>
    </row>
    <row r="5" spans="1:1" x14ac:dyDescent="0.25">
      <c r="A5" t="str">
        <f>IF(Table!I7="RO",CONCATENATE("     reg_ena","(",Table!D7,")"," &lt;= '1';","   ","reg_d(",Table!D7,") &lt;= x""FFFF"";"),CONCATENATE("     reg_ena","(",Table!D7,")"," &lt;= '1' when (LOAD = '1') and (shrt_addr = x""",DEC2HEX(Table!D7,2),""")"," else '0';","   ","reg_d(",Table!D7,") &lt;= DIN;"))</f>
        <v xml:space="preserve">     reg_ena(4) &lt;= '1';   reg_d(4) &lt;= x"FFFF";</v>
      </c>
    </row>
    <row r="6" spans="1:1" x14ac:dyDescent="0.25">
      <c r="A6" t="str">
        <f>IF(Table!I8="RO",CONCATENATE("     reg_ena","(",Table!D8,")"," &lt;= '1';","   ","reg_d(",Table!D8,") &lt;= x""FFFF"";"),CONCATENATE("     reg_ena","(",Table!D8,")"," &lt;= '1' when (LOAD = '1') and (shrt_addr = x""",DEC2HEX(Table!D8,2),""")"," else '0';","   ","reg_d(",Table!D8,") &lt;= DIN;"))</f>
        <v xml:space="preserve">     reg_ena(5) &lt;= '1';   reg_d(5) &lt;= x"FFFF";</v>
      </c>
    </row>
    <row r="7" spans="1:1" x14ac:dyDescent="0.25">
      <c r="A7" t="str">
        <f>IF(Table!I9="RO",CONCATENATE("     reg_ena","(",Table!D9,")"," &lt;= '1';","   ","reg_d(",Table!D9,") &lt;= x""FFFF"";"),CONCATENATE("     reg_ena","(",Table!D9,")"," &lt;= '1' when (LOAD = '1') and (shrt_addr = x""",DEC2HEX(Table!D9,2),""")"," else '0';","   ","reg_d(",Table!D9,") &lt;= DIN;"))</f>
        <v xml:space="preserve">     reg_ena(6) &lt;= '1' when (LOAD = '1') and (shrt_addr = x"06") else '0';   reg_d(6) &lt;= DIN;</v>
      </c>
    </row>
    <row r="8" spans="1:1" x14ac:dyDescent="0.25">
      <c r="A8" t="str">
        <f>IF(Table!I10="RO",CONCATENATE("     reg_ena","(",Table!D10,")"," &lt;= '1';","   ","reg_d(",Table!D10,") &lt;= x""FFFF"";"),CONCATENATE("     reg_ena","(",Table!D10,")"," &lt;= '1' when (LOAD = '1') and (shrt_addr = x""",DEC2HEX(Table!D10,2),""")"," else '0';","   ","reg_d(",Table!D10,") &lt;= DIN;"))</f>
        <v xml:space="preserve">     reg_ena(7) &lt;= '1' when (LOAD = '1') and (shrt_addr = x"07") else '0';   reg_d(7) &lt;= DIN;</v>
      </c>
    </row>
    <row r="9" spans="1:1" x14ac:dyDescent="0.25">
      <c r="A9" t="str">
        <f>IF(Table!I11="RO",CONCATENATE("     reg_ena","(",Table!D11,")"," &lt;= '1';","   ","reg_d(",Table!D11,") &lt;= x""FFFF"";"),CONCATENATE("     reg_ena","(",Table!D11,")"," &lt;= '1' when (LOAD = '1') and (shrt_addr = x""",DEC2HEX(Table!D11,2),""")"," else '0';","   ","reg_d(",Table!D11,") &lt;= DIN;"))</f>
        <v xml:space="preserve">     reg_ena(8) &lt;= '1';   reg_d(8) &lt;= x"FFFF";</v>
      </c>
    </row>
    <row r="10" spans="1:1" x14ac:dyDescent="0.25">
      <c r="A10" t="str">
        <f>IF(Table!I12="RO",CONCATENATE("     reg_ena","(",Table!D12,")"," &lt;= '1';","   ","reg_d(",Table!D12,") &lt;= x""FFFF"";"),CONCATENATE("     reg_ena","(",Table!D12,")"," &lt;= '1' when (LOAD = '1') and (shrt_addr = x""",DEC2HEX(Table!D12,2),""")"," else '0';","   ","reg_d(",Table!D12,") &lt;= DIN;"))</f>
        <v xml:space="preserve">     reg_ena(9) &lt;= '1';   reg_d(9) &lt;= x"FFFF";</v>
      </c>
    </row>
    <row r="11" spans="1:1" x14ac:dyDescent="0.25">
      <c r="A11" t="str">
        <f>IF(Table!I13="RO",CONCATENATE("     reg_ena","(",Table!D13,")"," &lt;= '1';","   ","reg_d(",Table!D13,") &lt;= x""FFFF"";"),CONCATENATE("     reg_ena","(",Table!D13,")"," &lt;= '1' when (LOAD = '1') and (shrt_addr = x""",DEC2HEX(Table!D13,2),""")"," else '0';","   ","reg_d(",Table!D13,") &lt;= DIN;"))</f>
        <v xml:space="preserve">     reg_ena(10) &lt;= '1';   reg_d(10) &lt;= x"FFFF";</v>
      </c>
    </row>
    <row r="12" spans="1:1" x14ac:dyDescent="0.25">
      <c r="A12" t="str">
        <f>IF(Table!I14="RO",CONCATENATE("     reg_ena","(",Table!D14,")"," &lt;= '1';","   ","reg_d(",Table!D14,") &lt;= x""FFFF"";"),CONCATENATE("     reg_ena","(",Table!D14,")"," &lt;= '1' when (LOAD = '1') and (shrt_addr = x""",DEC2HEX(Table!D14,2),""")"," else '0';","   ","reg_d(",Table!D14,") &lt;= DIN;"))</f>
        <v xml:space="preserve">     reg_ena(11) &lt;= '1';   reg_d(11) &lt;= x"FFFF";</v>
      </c>
    </row>
    <row r="13" spans="1:1" x14ac:dyDescent="0.25">
      <c r="A13" t="str">
        <f>IF(Table!I15="RO",CONCATENATE("     reg_ena","(",Table!D15,")"," &lt;= '1';","   ","reg_d(",Table!D15,") &lt;= x""FFFF"";"),CONCATENATE("     reg_ena","(",Table!D15,")"," &lt;= '1' when (LOAD = '1') and (shrt_addr = x""",DEC2HEX(Table!D15,2),""")"," else '0';","   ","reg_d(",Table!D15,") &lt;= DIN;"))</f>
        <v xml:space="preserve">     reg_ena(12) &lt;= '1';   reg_d(12) &lt;= x"FFFF";</v>
      </c>
    </row>
    <row r="14" spans="1:1" x14ac:dyDescent="0.25">
      <c r="A14" t="str">
        <f>IF(Table!I16="RO",CONCATENATE("     reg_ena","(",Table!D16,")"," &lt;= '1';","   ","reg_d(",Table!D16,") &lt;= x""FFFF"";"),CONCATENATE("     reg_ena","(",Table!D16,")"," &lt;= '1' when (LOAD = '1') and (shrt_addr = x""",DEC2HEX(Table!D16,2),""")"," else '0';","   ","reg_d(",Table!D16,") &lt;= DIN;"))</f>
        <v xml:space="preserve">     reg_ena(13) &lt;= '1';   reg_d(13) &lt;= x"FFFF";</v>
      </c>
    </row>
    <row r="15" spans="1:1" x14ac:dyDescent="0.25">
      <c r="A15" t="str">
        <f>IF(Table!I17="RO",CONCATENATE("     reg_ena","(",Table!D17,")"," &lt;= '1';","   ","reg_d(",Table!D17,") &lt;= x""FFFF"";"),CONCATENATE("     reg_ena","(",Table!D17,")"," &lt;= '1' when (LOAD = '1') and (shrt_addr = x""",DEC2HEX(Table!D17,2),""")"," else '0';","   ","reg_d(",Table!D17,") &lt;= DIN;"))</f>
        <v xml:space="preserve">     reg_ena(14) &lt;= '1';   reg_d(14) &lt;= x"FFFF";</v>
      </c>
    </row>
    <row r="16" spans="1:1" x14ac:dyDescent="0.25">
      <c r="A16" t="str">
        <f>IF(Table!I18="RO",CONCATENATE("     reg_ena","(",Table!D18,")"," &lt;= '1';","   ","reg_d(",Table!D18,") &lt;= x""FFFF"";"),CONCATENATE("     reg_ena","(",Table!D18,")"," &lt;= '1' when (LOAD = '1') and (shrt_addr = x""",DEC2HEX(Table!D18,2),""")"," else '0';","   ","reg_d(",Table!D18,") &lt;= DIN;"))</f>
        <v xml:space="preserve">     reg_ena(15) &lt;= '1';   reg_d(15) &lt;= x"FFFF";</v>
      </c>
    </row>
    <row r="17" spans="1:1" x14ac:dyDescent="0.25">
      <c r="A17" t="str">
        <f>IF(Table!I19="RO",CONCATENATE("     reg_ena","(",Table!D19,")"," &lt;= '1';","   ","reg_d(",Table!D19,") &lt;= x""FFFF"";"),CONCATENATE("     reg_ena","(",Table!D19,")"," &lt;= '1' when (LOAD = '1') and (shrt_addr = x""",DEC2HEX(Table!D19,2),""")"," else '0';","   ","reg_d(",Table!D19,") &lt;= DIN;"))</f>
        <v xml:space="preserve">     reg_ena(16) &lt;= '1';   reg_d(16) &lt;= x"FFFF";</v>
      </c>
    </row>
    <row r="18" spans="1:1" x14ac:dyDescent="0.25">
      <c r="A18" t="str">
        <f>IF(Table!I20="RO",CONCATENATE("     reg_ena","(",Table!D20,")"," &lt;= '1';","   ","reg_d(",Table!D20,") &lt;= x""FFFF"";"),CONCATENATE("     reg_ena","(",Table!D20,")"," &lt;= '1' when (LOAD = '1') and (shrt_addr = x""",DEC2HEX(Table!D20,2),""")"," else '0';","   ","reg_d(",Table!D20,") &lt;= DIN;"))</f>
        <v xml:space="preserve">     reg_ena(17) &lt;= '1';   reg_d(17) &lt;= x"FFFF";</v>
      </c>
    </row>
    <row r="19" spans="1:1" x14ac:dyDescent="0.25">
      <c r="A19" t="str">
        <f>IF(Table!I21="RO",CONCATENATE("     reg_ena","(",Table!D21,")"," &lt;= '1';","   ","reg_d(",Table!D21,") &lt;= x""FFFF"";"),CONCATENATE("     reg_ena","(",Table!D21,")"," &lt;= '1' when (LOAD = '1') and (shrt_addr = x""",DEC2HEX(Table!D21,2),""")"," else '0';","   ","reg_d(",Table!D21,") &lt;= DIN;"))</f>
        <v xml:space="preserve">     reg_ena(18) &lt;= '1';   reg_d(18) &lt;= x"FFFF";</v>
      </c>
    </row>
    <row r="20" spans="1:1" x14ac:dyDescent="0.25">
      <c r="A20" t="str">
        <f>IF(Table!I22="RO",CONCATENATE("     reg_ena","(",Table!D22,")"," &lt;= '1';","   ","reg_d(",Table!D22,") &lt;= x""FFFF"";"),CONCATENATE("     reg_ena","(",Table!D22,")"," &lt;= '1' when (LOAD = '1') and (shrt_addr = x""",DEC2HEX(Table!D22,2),""")"," else '0';","   ","reg_d(",Table!D22,") &lt;= DIN;"))</f>
        <v xml:space="preserve">     reg_ena(19) &lt;= '1';   reg_d(19) &lt;= x"FFFF";</v>
      </c>
    </row>
    <row r="21" spans="1:1" x14ac:dyDescent="0.25">
      <c r="A21" t="str">
        <f>IF(Table!I23="RO",CONCATENATE("     reg_ena","(",Table!D23,")"," &lt;= '1';","   ","reg_d(",Table!D23,") &lt;= x""FFFF"";"),CONCATENATE("     reg_ena","(",Table!D23,")"," &lt;= '1' when (LOAD = '1') and (shrt_addr = x""",DEC2HEX(Table!D23,2),""")"," else '0';","   ","reg_d(",Table!D23,") &lt;= DIN;"))</f>
        <v xml:space="preserve">     reg_ena(20) &lt;= '1';   reg_d(20) &lt;= x"FFFF";</v>
      </c>
    </row>
    <row r="22" spans="1:1" x14ac:dyDescent="0.25">
      <c r="A22" t="str">
        <f>IF(Table!I24="RO",CONCATENATE("     reg_ena","(",Table!D24,")"," &lt;= '1';","   ","reg_d(",Table!D24,") &lt;= x""FFFF"";"),CONCATENATE("     reg_ena","(",Table!D24,")"," &lt;= '1' when (LOAD = '1') and (shrt_addr = x""",DEC2HEX(Table!D24,2),""")"," else '0';","   ","reg_d(",Table!D24,") &lt;= DIN;"))</f>
        <v xml:space="preserve">     reg_ena(21) &lt;= '1';   reg_d(21) &lt;= x"FFFF";</v>
      </c>
    </row>
    <row r="23" spans="1:1" x14ac:dyDescent="0.25">
      <c r="A23" t="str">
        <f>IF(Table!I25="RO",CONCATENATE("     reg_ena","(",Table!D25,")"," &lt;= '1';","   ","reg_d(",Table!D25,") &lt;= x""FFFF"";"),CONCATENATE("     reg_ena","(",Table!D25,")"," &lt;= '1' when (LOAD = '1') and (shrt_addr = x""",DEC2HEX(Table!D25,2),""")"," else '0';","   ","reg_d(",Table!D25,") &lt;= DIN;"))</f>
        <v xml:space="preserve">     reg_ena(22) &lt;= '1';   reg_d(22) &lt;= x"FFFF";</v>
      </c>
    </row>
    <row r="24" spans="1:1" x14ac:dyDescent="0.25">
      <c r="A24" t="str">
        <f>IF(Table!I26="RO",CONCATENATE("     reg_ena","(",Table!D26,")"," &lt;= '1';","   ","reg_d(",Table!D26,") &lt;= x""FFFF"";"),CONCATENATE("     reg_ena","(",Table!D26,")"," &lt;= '1' when (LOAD = '1') and (shrt_addr = x""",DEC2HEX(Table!D26,2),""")"," else '0';","   ","reg_d(",Table!D26,") &lt;= DIN;"))</f>
        <v xml:space="preserve">     reg_ena(23) &lt;= '1';   reg_d(23) &lt;= x"FFFF";</v>
      </c>
    </row>
    <row r="25" spans="1:1" x14ac:dyDescent="0.25">
      <c r="A25" t="str">
        <f>IF(Table!I27="RO",CONCATENATE("     reg_ena","(",Table!D27,")"," &lt;= '1';","   ","reg_d(",Table!D27,") &lt;= x""FFFF"";"),CONCATENATE("     reg_ena","(",Table!D27,")"," &lt;= '1' when (LOAD = '1') and (shrt_addr = x""",DEC2HEX(Table!D27,2),""")"," else '0';","   ","reg_d(",Table!D27,") &lt;= DIN;"))</f>
        <v xml:space="preserve">     reg_ena(24) &lt;= '1';   reg_d(24) &lt;= x"FFFF";</v>
      </c>
    </row>
    <row r="26" spans="1:1" x14ac:dyDescent="0.25">
      <c r="A26" t="str">
        <f>IF(Table!I28="RO",CONCATENATE("     reg_ena","(",Table!D28,")"," &lt;= '1';","   ","reg_d(",Table!D28,") &lt;= x""FFFF"";"),CONCATENATE("     reg_ena","(",Table!D28,")"," &lt;= '1' when (LOAD = '1') and (shrt_addr = x""",DEC2HEX(Table!D28,2),""")"," else '0';","   ","reg_d(",Table!D28,") &lt;= DIN;"))</f>
        <v xml:space="preserve">     reg_ena(25) &lt;= '1';   reg_d(25) &lt;= x"FFFF";</v>
      </c>
    </row>
    <row r="27" spans="1:1" x14ac:dyDescent="0.25">
      <c r="A27" t="str">
        <f>IF(Table!I29="RO",CONCATENATE("     reg_ena","(",Table!D29,")"," &lt;= '1';","   ","reg_d(",Table!D29,") &lt;= x""FFFF"";"),CONCATENATE("     reg_ena","(",Table!D29,")"," &lt;= '1' when (LOAD = '1') and (shrt_addr = x""",DEC2HEX(Table!D29,2),""")"," else '0';","   ","reg_d(",Table!D29,") &lt;= DIN;"))</f>
        <v xml:space="preserve">     reg_ena(26) &lt;= '1';   reg_d(26) &lt;= x"FFFF";</v>
      </c>
    </row>
    <row r="28" spans="1:1" x14ac:dyDescent="0.25">
      <c r="A28" t="str">
        <f>IF(Table!I30="RO",CONCATENATE("     reg_ena","(",Table!D30,")"," &lt;= '1';","   ","reg_d(",Table!D30,") &lt;= x""FFFF"";"),CONCATENATE("     reg_ena","(",Table!D30,")"," &lt;= '1' when (LOAD = '1') and (shrt_addr = x""",DEC2HEX(Table!D30,2),""")"," else '0';","   ","reg_d(",Table!D30,") &lt;= DIN;"))</f>
        <v xml:space="preserve">     reg_ena(27) &lt;= '1';   reg_d(27) &lt;= x"FFFF";</v>
      </c>
    </row>
    <row r="29" spans="1:1" x14ac:dyDescent="0.25">
      <c r="A29" t="str">
        <f>IF(Table!I31="RO",CONCATENATE("     reg_ena","(",Table!D31,")"," &lt;= '1';","   ","reg_d(",Table!D31,") &lt;= x""FFFF"";"),CONCATENATE("     reg_ena","(",Table!D31,")"," &lt;= '1' when (LOAD = '1') and (shrt_addr = x""",DEC2HEX(Table!D31,2),""")"," else '0';","   ","reg_d(",Table!D31,") &lt;= DIN;"))</f>
        <v xml:space="preserve">     reg_ena(28) &lt;= '1';   reg_d(28) &lt;= x"FFFF";</v>
      </c>
    </row>
    <row r="30" spans="1:1" x14ac:dyDescent="0.25">
      <c r="A30" t="str">
        <f>IF(Table!I32="RO",CONCATENATE("     reg_ena","(",Table!D32,")"," &lt;= '1';","   ","reg_d(",Table!D32,") &lt;= x""FFFF"";"),CONCATENATE("     reg_ena","(",Table!D32,")"," &lt;= '1' when (LOAD = '1') and (shrt_addr = x""",DEC2HEX(Table!D32,2),""")"," else '0';","   ","reg_d(",Table!D32,") &lt;= DIN;"))</f>
        <v xml:space="preserve">     reg_ena(29) &lt;= '1';   reg_d(29) &lt;= x"FFFF";</v>
      </c>
    </row>
    <row r="31" spans="1:1" x14ac:dyDescent="0.25">
      <c r="A31" t="str">
        <f>IF(Table!I33="RO",CONCATENATE("     reg_ena","(",Table!D33,")"," &lt;= '1';","   ","reg_d(",Table!D33,") &lt;= x""FFFF"";"),CONCATENATE("     reg_ena","(",Table!D33,")"," &lt;= '1' when (LOAD = '1') and (shrt_addr = x""",DEC2HEX(Table!D33,2),""")"," else '0';","   ","reg_d(",Table!D33,") &lt;= DIN;"))</f>
        <v xml:space="preserve">     reg_ena(30) &lt;= '1';   reg_d(30) &lt;= x"FFFF";</v>
      </c>
    </row>
    <row r="32" spans="1:1" x14ac:dyDescent="0.25">
      <c r="A32" t="str">
        <f>IF(Table!I34="RO",CONCATENATE("     reg_ena","(",Table!D34,")"," &lt;= '1';","   ","reg_d(",Table!D34,") &lt;= x""FFFF"";"),CONCATENATE("     reg_ena","(",Table!D34,")"," &lt;= '1' when (LOAD = '1') and (shrt_addr = x""",DEC2HEX(Table!D34,2),""")"," else '0';","   ","reg_d(",Table!D34,") &lt;= DIN;"))</f>
        <v xml:space="preserve">     reg_ena(31) &lt;= '1';   reg_d(31) &lt;= x"FFFF";</v>
      </c>
    </row>
    <row r="33" spans="1:1" x14ac:dyDescent="0.25">
      <c r="A33" t="str">
        <f>IF(Table!I35="RO",CONCATENATE("     reg_ena","(",Table!D35,")"," &lt;= '1';","   ","reg_d(",Table!D35,") &lt;= x""FFFF"";"),CONCATENATE("     reg_ena","(",Table!D35,")"," &lt;= '1' when (LOAD = '1') and (shrt_addr = x""",DEC2HEX(Table!D35,2),""")"," else '0';","   ","reg_d(",Table!D35,") &lt;= DIN;"))</f>
        <v xml:space="preserve">     reg_ena(32) &lt;= '1' when (LOAD = '1') and (shrt_addr = x"20") else '0';   reg_d(32) &lt;= DIN;</v>
      </c>
    </row>
    <row r="34" spans="1:1" x14ac:dyDescent="0.25">
      <c r="A34" t="str">
        <f>IF(Table!I36="RO",CONCATENATE("     reg_ena","(",Table!D36,")"," &lt;= '1';","   ","reg_d(",Table!D36,") &lt;= x""FFFF"";"),CONCATENATE("     reg_ena","(",Table!D36,")"," &lt;= '1' when (LOAD = '1') and (shrt_addr = x""",DEC2HEX(Table!D36,2),""")"," else '0';","   ","reg_d(",Table!D36,") &lt;= DIN;"))</f>
        <v xml:space="preserve">     reg_ena(33) &lt;= '1' when (LOAD = '1') and (shrt_addr = x"21") else '0';   reg_d(33) &lt;= DIN;</v>
      </c>
    </row>
    <row r="35" spans="1:1" x14ac:dyDescent="0.25">
      <c r="A35" t="str">
        <f>IF(Table!I37="RO",CONCATENATE("     reg_ena","(",Table!D37,")"," &lt;= '1';","   ","reg_d(",Table!D37,") &lt;= x""FFFF"";"),CONCATENATE("     reg_ena","(",Table!D37,")"," &lt;= '1' when (LOAD = '1') and (shrt_addr = x""",DEC2HEX(Table!D37,2),""")"," else '0';","   ","reg_d(",Table!D37,") &lt;= DIN;"))</f>
        <v xml:space="preserve">     reg_ena(34) &lt;= '1' when (LOAD = '1') and (shrt_addr = x"22") else '0';   reg_d(34) &lt;= DIN;</v>
      </c>
    </row>
    <row r="36" spans="1:1" x14ac:dyDescent="0.25">
      <c r="A36" t="str">
        <f>IF(Table!I38="RO",CONCATENATE("     reg_ena","(",Table!D38,")"," &lt;= '1';","   ","reg_d(",Table!D38,") &lt;= x""FFFF"";"),CONCATENATE("     reg_ena","(",Table!D38,")"," &lt;= '1' when (LOAD = '1') and (shrt_addr = x""",DEC2HEX(Table!D38,2),""")"," else '0';","   ","reg_d(",Table!D38,") &lt;= DIN;"))</f>
        <v xml:space="preserve">     reg_ena(35) &lt;= '1' when (LOAD = '1') and (shrt_addr = x"23") else '0';   reg_d(35) &lt;= DIN;</v>
      </c>
    </row>
    <row r="37" spans="1:1" x14ac:dyDescent="0.25">
      <c r="A37" t="str">
        <f>IF(Table!I39="RO",CONCATENATE("     reg_ena","(",Table!D39,")"," &lt;= '1';","   ","reg_d(",Table!D39,") &lt;= x""FFFF"";"),CONCATENATE("     reg_ena","(",Table!D39,")"," &lt;= '1' when (LOAD = '1') and (shrt_addr = x""",DEC2HEX(Table!D39,2),""")"," else '0';","   ","reg_d(",Table!D39,") &lt;= DIN;"))</f>
        <v xml:space="preserve">     reg_ena(36) &lt;= '1' when (LOAD = '1') and (shrt_addr = x"24") else '0';   reg_d(36) &lt;= DIN;</v>
      </c>
    </row>
    <row r="38" spans="1:1" x14ac:dyDescent="0.25">
      <c r="A38" t="str">
        <f>IF(Table!I40="RO",CONCATENATE("     reg_ena","(",Table!D40,")"," &lt;= '1';","   ","reg_d(",Table!D40,") &lt;= x""FFFF"";"),CONCATENATE("     reg_ena","(",Table!D40,")"," &lt;= '1' when (LOAD = '1') and (shrt_addr = x""",DEC2HEX(Table!D40,2),""")"," else '0';","   ","reg_d(",Table!D40,") &lt;= DIN;"))</f>
        <v xml:space="preserve">     reg_ena(37) &lt;= '1' when (LOAD = '1') and (shrt_addr = x"25") else '0';   reg_d(37) &lt;= DIN;</v>
      </c>
    </row>
    <row r="39" spans="1:1" x14ac:dyDescent="0.25">
      <c r="A39" t="str">
        <f>IF(Table!I41="RO",CONCATENATE("     reg_ena","(",Table!D41,")"," &lt;= '1';","   ","reg_d(",Table!D41,") &lt;= x""FFFF"";"),CONCATENATE("     reg_ena","(",Table!D41,")"," &lt;= '1' when (LOAD = '1') and (shrt_addr = x""",DEC2HEX(Table!D41,2),""")"," else '0';","   ","reg_d(",Table!D41,") &lt;= DIN;"))</f>
        <v xml:space="preserve">     reg_ena(38) &lt;= '1' when (LOAD = '1') and (shrt_addr = x"26") else '0';   reg_d(38) &lt;= DIN;</v>
      </c>
    </row>
    <row r="40" spans="1:1" x14ac:dyDescent="0.25">
      <c r="A40" t="str">
        <f>IF(Table!I42="RO",CONCATENATE("     reg_ena","(",Table!D42,")"," &lt;= '1';","   ","reg_d(",Table!D42,") &lt;= x""FFFF"";"),CONCATENATE("     reg_ena","(",Table!D42,")"," &lt;= '1' when (LOAD = '1') and (shrt_addr = x""",DEC2HEX(Table!D42,2),""")"," else '0';","   ","reg_d(",Table!D42,") &lt;= DIN;"))</f>
        <v xml:space="preserve">     reg_ena(39) &lt;= '1' when (LOAD = '1') and (shrt_addr = x"27") else '0';   reg_d(39) &lt;= DIN;</v>
      </c>
    </row>
    <row r="41" spans="1:1" x14ac:dyDescent="0.25">
      <c r="A41" t="str">
        <f>IF(Table!I43="RO",CONCATENATE("     reg_ena","(",Table!D43,")"," &lt;= '1';","   ","reg_d(",Table!D43,") &lt;= x""FFFF"";"),CONCATENATE("     reg_ena","(",Table!D43,")"," &lt;= '1' when (LOAD = '1') and (shrt_addr = x""",DEC2HEX(Table!D43,2),""")"," else '0';","   ","reg_d(",Table!D43,") &lt;= DIN;"))</f>
        <v xml:space="preserve">     reg_ena(40) &lt;= '1' when (LOAD = '1') and (shrt_addr = x"28") else '0';   reg_d(40) &lt;= DIN;</v>
      </c>
    </row>
    <row r="42" spans="1:1" x14ac:dyDescent="0.25">
      <c r="A42" t="str">
        <f>IF(Table!I44="RO",CONCATENATE("     reg_ena","(",Table!D44,")"," &lt;= '1';","   ","reg_d(",Table!D44,") &lt;= x""FFFF"";"),CONCATENATE("     reg_ena","(",Table!D44,")"," &lt;= '1' when (LOAD = '1') and (shrt_addr = x""",DEC2HEX(Table!D44,2),""")"," else '0';","   ","reg_d(",Table!D44,") &lt;= DIN;"))</f>
        <v xml:space="preserve">     reg_ena(41) &lt;= '1' when (LOAD = '1') and (shrt_addr = x"29") else '0';   reg_d(41) &lt;= DIN;</v>
      </c>
    </row>
    <row r="43" spans="1:1" x14ac:dyDescent="0.25">
      <c r="A43" t="str">
        <f>IF(Table!I45="RO",CONCATENATE("     reg_ena","(",Table!D45,")"," &lt;= '1';","   ","reg_d(",Table!D45,") &lt;= x""FFFF"";"),CONCATENATE("     reg_ena","(",Table!D45,")"," &lt;= '1' when (LOAD = '1') and (shrt_addr = x""",DEC2HEX(Table!D45,2),""")"," else '0';","   ","reg_d(",Table!D45,") &lt;= DIN;"))</f>
        <v xml:space="preserve">     reg_ena(42) &lt;= '1' when (LOAD = '1') and (shrt_addr = x"2A") else '0';   reg_d(42) &lt;= DIN;</v>
      </c>
    </row>
    <row r="44" spans="1:1" x14ac:dyDescent="0.25">
      <c r="A44" t="str">
        <f>IF(Table!I46="RO",CONCATENATE("     reg_ena","(",Table!D46,")"," &lt;= '1';","   ","reg_d(",Table!D46,") &lt;= x""FFFF"";"),CONCATENATE("     reg_ena","(",Table!D46,")"," &lt;= '1' when (LOAD = '1') and (shrt_addr = x""",DEC2HEX(Table!D46,2),""")"," else '0';","   ","reg_d(",Table!D46,") &lt;= DIN;"))</f>
        <v xml:space="preserve">     reg_ena(43) &lt;= '1' when (LOAD = '1') and (shrt_addr = x"2B") else '0';   reg_d(43) &lt;= DIN;</v>
      </c>
    </row>
    <row r="45" spans="1:1" x14ac:dyDescent="0.25">
      <c r="A45" t="str">
        <f>IF(Table!I47="RO",CONCATENATE("     reg_ena","(",Table!D47,")"," &lt;= '1';","   ","reg_d(",Table!D47,") &lt;= x""FFFF"";"),CONCATENATE("     reg_ena","(",Table!D47,")"," &lt;= '1' when (LOAD = '1') and (shrt_addr = x""",DEC2HEX(Table!D47,2),""")"," else '0';","   ","reg_d(",Table!D47,") &lt;= DIN;"))</f>
        <v xml:space="preserve">     reg_ena(44) &lt;= '1' when (LOAD = '1') and (shrt_addr = x"2C") else '0';   reg_d(44) &lt;= DIN;</v>
      </c>
    </row>
    <row r="46" spans="1:1" x14ac:dyDescent="0.25">
      <c r="A46" t="str">
        <f>IF(Table!I48="RO",CONCATENATE("     reg_ena","(",Table!D48,")"," &lt;= '1';","   ","reg_d(",Table!D48,") &lt;= x""FFFF"";"),CONCATENATE("     reg_ena","(",Table!D48,")"," &lt;= '1' when (LOAD = '1') and (shrt_addr = x""",DEC2HEX(Table!D48,2),""")"," else '0';","   ","reg_d(",Table!D48,") &lt;= DIN;"))</f>
        <v xml:space="preserve">     reg_ena(45) &lt;= '1' when (LOAD = '1') and (shrt_addr = x"2D") else '0';   reg_d(45) &lt;= DIN;</v>
      </c>
    </row>
    <row r="47" spans="1:1" x14ac:dyDescent="0.25">
      <c r="A47" t="str">
        <f>IF(Table!I49="RO",CONCATENATE("     reg_ena","(",Table!D49,")"," &lt;= '1';","   ","reg_d(",Table!D49,") &lt;= x""FFFF"";"),CONCATENATE("     reg_ena","(",Table!D49,")"," &lt;= '1' when (LOAD = '1') and (shrt_addr = x""",DEC2HEX(Table!D49,2),""")"," else '0';","   ","reg_d(",Table!D49,") &lt;= DIN;"))</f>
        <v xml:space="preserve">     reg_ena(46) &lt;= '1' when (LOAD = '1') and (shrt_addr = x"2E") else '0';   reg_d(46) &lt;= DIN;</v>
      </c>
    </row>
    <row r="48" spans="1:1" x14ac:dyDescent="0.25">
      <c r="A48" t="str">
        <f>IF(Table!I50="RO",CONCATENATE("     reg_ena","(",Table!D50,")"," &lt;= '1';","   ","reg_d(",Table!D50,") &lt;= x""FFFF"";"),CONCATENATE("     reg_ena","(",Table!D50,")"," &lt;= '1' when (LOAD = '1') and (shrt_addr = x""",DEC2HEX(Table!D50,2),""")"," else '0';","   ","reg_d(",Table!D50,") &lt;= DIN;"))</f>
        <v xml:space="preserve">     reg_ena(47) &lt;= '1' when (LOAD = '1') and (shrt_addr = x"2F") else '0';   reg_d(47) &lt;= DIN;</v>
      </c>
    </row>
    <row r="49" spans="1:1" x14ac:dyDescent="0.25">
      <c r="A49" t="str">
        <f>IF(Table!I51="RO",CONCATENATE("     reg_ena","(",Table!D51,")"," &lt;= '1';","   ","reg_d(",Table!D51,") &lt;= x""FFFF"";"),CONCATENATE("     reg_ena","(",Table!D51,")"," &lt;= '1' when (LOAD = '1') and (shrt_addr = x""",DEC2HEX(Table!D51,2),""")"," else '0';","   ","reg_d(",Table!D51,") &lt;= DIN;"))</f>
        <v xml:space="preserve">     reg_ena(48) &lt;= '1' when (LOAD = '1') and (shrt_addr = x"30") else '0';   reg_d(48) &lt;= DIN;</v>
      </c>
    </row>
    <row r="50" spans="1:1" x14ac:dyDescent="0.25">
      <c r="A50" t="str">
        <f>IF(Table!I52="RO",CONCATENATE("     reg_ena","(",Table!D52,")"," &lt;= '1';","   ","reg_d(",Table!D52,") &lt;= x""FFFF"";"),CONCATENATE("     reg_ena","(",Table!D52,")"," &lt;= '1' when (LOAD = '1') and (shrt_addr = x""",DEC2HEX(Table!D52,2),""")"," else '0';","   ","reg_d(",Table!D52,") &lt;= DIN;"))</f>
        <v xml:space="preserve">     reg_ena(49) &lt;= '1' when (LOAD = '1') and (shrt_addr = x"31") else '0';   reg_d(49) &lt;= DIN;</v>
      </c>
    </row>
    <row r="51" spans="1:1" x14ac:dyDescent="0.25">
      <c r="A51" t="str">
        <f>IF(Table!I53="RO",CONCATENATE("     reg_ena","(",Table!D53,")"," &lt;= '1';","   ","reg_d(",Table!D53,") &lt;= x""FFFF"";"),CONCATENATE("     reg_ena","(",Table!D53,")"," &lt;= '1' when (LOAD = '1') and (shrt_addr = x""",DEC2HEX(Table!D53,2),""")"," else '0';","   ","reg_d(",Table!D53,") &lt;= DIN;"))</f>
        <v xml:space="preserve">     reg_ena(50) &lt;= '1';   reg_d(50) &lt;= x"FFFF";</v>
      </c>
    </row>
    <row r="52" spans="1:1" x14ac:dyDescent="0.25">
      <c r="A52" t="str">
        <f>IF(Table!I54="RO",CONCATENATE("     reg_ena","(",Table!D54,")"," &lt;= '1';","   ","reg_d(",Table!D54,") &lt;= x""FFFF"";"),CONCATENATE("     reg_ena","(",Table!D54,")"," &lt;= '1' when (LOAD = '1') and (shrt_addr = x""",DEC2HEX(Table!D54,2),""")"," else '0';","   ","reg_d(",Table!D54,") &lt;= DIN;"))</f>
        <v xml:space="preserve">     reg_ena(51) &lt;= '1';   reg_d(51) &lt;= x"FFFF";</v>
      </c>
    </row>
    <row r="53" spans="1:1" x14ac:dyDescent="0.25">
      <c r="A53" t="str">
        <f>IF(Table!I55="RO",CONCATENATE("     reg_ena","(",Table!D55,")"," &lt;= '1';","   ","reg_d(",Table!D55,") &lt;= x""FFFF"";"),CONCATENATE("     reg_ena","(",Table!D55,")"," &lt;= '1' when (LOAD = '1') and (shrt_addr = x""",DEC2HEX(Table!D55,2),""")"," else '0';","   ","reg_d(",Table!D55,") &lt;= DIN;"))</f>
        <v xml:space="preserve">     reg_ena(52) &lt;= '1';   reg_d(52) &lt;= x"FFFF";</v>
      </c>
    </row>
    <row r="54" spans="1:1" x14ac:dyDescent="0.25">
      <c r="A54" t="str">
        <f>IF(Table!I56="RO",CONCATENATE("     reg_ena","(",Table!D56,")"," &lt;= '1';","   ","reg_d(",Table!D56,") &lt;= x""FFFF"";"),CONCATENATE("     reg_ena","(",Table!D56,")"," &lt;= '1' when (LOAD = '1') and (shrt_addr = x""",DEC2HEX(Table!D56,2),""")"," else '0';","   ","reg_d(",Table!D56,") &lt;= DIN;"))</f>
        <v xml:space="preserve">     reg_ena(53) &lt;= '1';   reg_d(53) &lt;= x"FFFF";</v>
      </c>
    </row>
    <row r="55" spans="1:1" x14ac:dyDescent="0.25">
      <c r="A55" t="str">
        <f>IF(Table!I57="RO",CONCATENATE("     reg_ena","(",Table!D57,")"," &lt;= '1';","   ","reg_d(",Table!D57,") &lt;= x""FFFF"";"),CONCATENATE("     reg_ena","(",Table!D57,")"," &lt;= '1' when (LOAD = '1') and (shrt_addr = x""",DEC2HEX(Table!D57,2),""")"," else '0';","   ","reg_d(",Table!D57,") &lt;= DIN;"))</f>
        <v xml:space="preserve">     reg_ena(54) &lt;= '1';   reg_d(54) &lt;= x"FFFF";</v>
      </c>
    </row>
    <row r="56" spans="1:1" x14ac:dyDescent="0.25">
      <c r="A56" t="str">
        <f>IF(Table!I58="RO",CONCATENATE("     reg_ena","(",Table!D58,")"," &lt;= '1';","   ","reg_d(",Table!D58,") &lt;= x""FFFF"";"),CONCATENATE("     reg_ena","(",Table!D58,")"," &lt;= '1' when (LOAD = '1') and (shrt_addr = x""",DEC2HEX(Table!D58,2),""")"," else '0';","   ","reg_d(",Table!D58,") &lt;= DIN;"))</f>
        <v xml:space="preserve">     reg_ena(55) &lt;= '1';   reg_d(55) &lt;= x"FFFF";</v>
      </c>
    </row>
    <row r="57" spans="1:1" x14ac:dyDescent="0.25">
      <c r="A57" t="str">
        <f>IF(Table!I59="RO",CONCATENATE("     reg_ena","(",Table!D59,")"," &lt;= '1';","   ","reg_d(",Table!D59,") &lt;= x""FFFF"";"),CONCATENATE("     reg_ena","(",Table!D59,")"," &lt;= '1' when (LOAD = '1') and (shrt_addr = x""",DEC2HEX(Table!D59,2),""")"," else '0';","   ","reg_d(",Table!D59,") &lt;= DIN;"))</f>
        <v xml:space="preserve">     reg_ena(56) &lt;= '1';   reg_d(56) &lt;= x"FFFF";</v>
      </c>
    </row>
    <row r="58" spans="1:1" x14ac:dyDescent="0.25">
      <c r="A58" t="str">
        <f>IF(Table!I60="RO",CONCATENATE("     reg_ena","(",Table!D60,")"," &lt;= '1';","   ","reg_d(",Table!D60,") &lt;= x""FFFF"";"),CONCATENATE("     reg_ena","(",Table!D60,")"," &lt;= '1' when (LOAD = '1') and (shrt_addr = x""",DEC2HEX(Table!D60,2),""")"," else '0';","   ","reg_d(",Table!D60,") &lt;= DIN;"))</f>
        <v xml:space="preserve">     reg_ena(57) &lt;= '1';   reg_d(57) &lt;= x"FFFF";</v>
      </c>
    </row>
    <row r="59" spans="1:1" x14ac:dyDescent="0.25">
      <c r="A59" t="str">
        <f>IF(Table!I61="RO",CONCATENATE("     reg_ena","(",Table!D61,")"," &lt;= '1';","   ","reg_d(",Table!D61,") &lt;= x""FFFF"";"),CONCATENATE("     reg_ena","(",Table!D61,")"," &lt;= '1' when (LOAD = '1') and (shrt_addr = x""",DEC2HEX(Table!D61,2),""")"," else '0';","   ","reg_d(",Table!D61,") &lt;= DIN;"))</f>
        <v xml:space="preserve">     reg_ena(58) &lt;= '1';   reg_d(58) &lt;= x"FFFF";</v>
      </c>
    </row>
    <row r="60" spans="1:1" x14ac:dyDescent="0.25">
      <c r="A60" t="str">
        <f>IF(Table!I62="RO",CONCATENATE("     reg_ena","(",Table!D62,")"," &lt;= '1';","   ","reg_d(",Table!D62,") &lt;= x""FFFF"";"),CONCATENATE("     reg_ena","(",Table!D62,")"," &lt;= '1' when (LOAD = '1') and (shrt_addr = x""",DEC2HEX(Table!D62,2),""")"," else '0';","   ","reg_d(",Table!D62,") &lt;= DIN;"))</f>
        <v xml:space="preserve">     reg_ena(59) &lt;= '1';   reg_d(59) &lt;= x"FFFF";</v>
      </c>
    </row>
    <row r="61" spans="1:1" x14ac:dyDescent="0.25">
      <c r="A61" t="str">
        <f>IF(Table!I63="RO",CONCATENATE("     reg_ena","(",Table!D63,")"," &lt;= '1';","   ","reg_d(",Table!D63,") &lt;= x""FFFF"";"),CONCATENATE("     reg_ena","(",Table!D63,")"," &lt;= '1' when (LOAD = '1') and (shrt_addr = x""",DEC2HEX(Table!D63,2),""")"," else '0';","   ","reg_d(",Table!D63,") &lt;= DIN;"))</f>
        <v xml:space="preserve">     reg_ena(60) &lt;= '1';   reg_d(60) &lt;= x"FFFF";</v>
      </c>
    </row>
    <row r="62" spans="1:1" x14ac:dyDescent="0.25">
      <c r="A62" t="str">
        <f>IF(Table!I64="RO",CONCATENATE("     reg_ena","(",Table!D64,")"," &lt;= '1';","   ","reg_d(",Table!D64,") &lt;= x""FFFF"";"),CONCATENATE("     reg_ena","(",Table!D64,")"," &lt;= '1' when (LOAD = '1') and (shrt_addr = x""",DEC2HEX(Table!D64,2),""")"," else '0';","   ","reg_d(",Table!D64,") &lt;= DIN;"))</f>
        <v xml:space="preserve">     reg_ena(61) &lt;= '1';   reg_d(61) &lt;= x"FFFF";</v>
      </c>
    </row>
    <row r="63" spans="1:1" x14ac:dyDescent="0.25">
      <c r="A63" t="str">
        <f>IF(Table!I65="RO",CONCATENATE("     reg_ena","(",Table!D65,")"," &lt;= '1';","   ","reg_d(",Table!D65,") &lt;= x""FFFF"";"),CONCATENATE("     reg_ena","(",Table!D65,")"," &lt;= '1' when (LOAD = '1') and (shrt_addr = x""",DEC2HEX(Table!D65,2),""")"," else '0';","   ","reg_d(",Table!D65,") &lt;= DIN;"))</f>
        <v xml:space="preserve">     reg_ena(62) &lt;= '1';   reg_d(62) &lt;= x"FFFF";</v>
      </c>
    </row>
    <row r="64" spans="1:1" x14ac:dyDescent="0.25">
      <c r="A64" t="str">
        <f>IF(Table!I66="RO",CONCATENATE("     reg_ena","(",Table!D66,")"," &lt;= '1';","   ","reg_d(",Table!D66,") &lt;= x""FFFF"";"),CONCATENATE("     reg_ena","(",Table!D66,")"," &lt;= '1' when (LOAD = '1') and (shrt_addr = x""",DEC2HEX(Table!D66,2),""")"," else '0';","   ","reg_d(",Table!D66,") &lt;= DIN;"))</f>
        <v xml:space="preserve">     reg_ena(63) &lt;= '1' when (LOAD = '1') and (shrt_addr = x"3F") else '0';   reg_d(63) &lt;= DIN;</v>
      </c>
    </row>
    <row r="65" spans="1:1" x14ac:dyDescent="0.25">
      <c r="A65" t="str">
        <f>IF(Table!I67="RO",CONCATENATE("     reg_ena","(",Table!D67,")"," &lt;= '1';","   ","reg_d(",Table!D67,") &lt;= x""FFFF"";"),CONCATENATE("     reg_ena","(",Table!D67,")"," &lt;= '1' when (LOAD = '1') and (shrt_addr = x""",DEC2HEX(Table!D67,2),""")"," else '0';","   ","reg_d(",Table!D67,") &lt;= DIN;"))</f>
        <v xml:space="preserve">     reg_ena(64) &lt;= '1';   reg_d(64) &lt;= x"FFFF";</v>
      </c>
    </row>
    <row r="66" spans="1:1" x14ac:dyDescent="0.25">
      <c r="A66" t="str">
        <f>IF(Table!I68="RO",CONCATENATE("     reg_ena","(",Table!D68,")"," &lt;= '1';","   ","reg_d(",Table!D68,") &lt;= x""FFFF"";"),CONCATENATE("     reg_ena","(",Table!D68,")"," &lt;= '1' when (LOAD = '1') and (shrt_addr = x""",DEC2HEX(Table!D68,2),""")"," else '0';","   ","reg_d(",Table!D68,") &lt;= DIN;"))</f>
        <v xml:space="preserve">     reg_ena(65) &lt;= '1';   reg_d(65) &lt;= x"FFFF";</v>
      </c>
    </row>
    <row r="67" spans="1:1" x14ac:dyDescent="0.25">
      <c r="A67" t="str">
        <f>IF(Table!I69="RO",CONCATENATE("     reg_ena","(",Table!D69,")"," &lt;= '1';","   ","reg_d(",Table!D69,") &lt;= x""FFFF"";"),CONCATENATE("     reg_ena","(",Table!D69,")"," &lt;= '1' when (LOAD = '1') and (shrt_addr = x""",DEC2HEX(Table!D69,2),""")"," else '0';","   ","reg_d(",Table!D69,") &lt;= DIN;"))</f>
        <v xml:space="preserve">     reg_ena(66) &lt;= '1' when (LOAD = '1') and (shrt_addr = x"42") else '0';   reg_d(66) &lt;= DIN;</v>
      </c>
    </row>
    <row r="68" spans="1:1" x14ac:dyDescent="0.25">
      <c r="A68" t="str">
        <f>IF(Table!I70="RO",CONCATENATE("     reg_ena","(",Table!D70,")"," &lt;= '1';","   ","reg_d(",Table!D70,") &lt;= x""FFFF"";"),CONCATENATE("     reg_ena","(",Table!D70,")"," &lt;= '1' when (LOAD = '1') and (shrt_addr = x""",DEC2HEX(Table!D70,2),""")"," else '0';","   ","reg_d(",Table!D70,") &lt;= DIN;"))</f>
        <v xml:space="preserve">     reg_ena(67) &lt;= '1' when (LOAD = '1') and (shrt_addr = x"43") else '0';   reg_d(67) &lt;= DIN;</v>
      </c>
    </row>
    <row r="69" spans="1:1" x14ac:dyDescent="0.25">
      <c r="A69" t="str">
        <f>IF(Table!I71="RO",CONCATENATE("     reg_ena","(",Table!D71,")"," &lt;= '1';","   ","reg_d(",Table!D71,") &lt;= x""FFFF"";"),CONCATENATE("     reg_ena","(",Table!D71,")"," &lt;= '1' when (LOAD = '1') and (shrt_addr = x""",DEC2HEX(Table!D71,2),""")"," else '0';","   ","reg_d(",Table!D71,") &lt;= DIN;"))</f>
        <v xml:space="preserve">     reg_ena(68) &lt;= '1' when (LOAD = '1') and (shrt_addr = x"44") else '0';   reg_d(68) &lt;= DIN;</v>
      </c>
    </row>
    <row r="70" spans="1:1" x14ac:dyDescent="0.25">
      <c r="A70" t="str">
        <f>IF(Table!I72="RO",CONCATENATE("     reg_ena","(",Table!D72,")"," &lt;= '1';","   ","reg_d(",Table!D72,") &lt;= x""FFFF"";"),CONCATENATE("     reg_ena","(",Table!D72,")"," &lt;= '1' when (LOAD = '1') and (shrt_addr = x""",DEC2HEX(Table!D72,2),""")"," else '0';","   ","reg_d(",Table!D72,") &lt;= DIN;"))</f>
        <v xml:space="preserve">     reg_ena(69) &lt;= '1' when (LOAD = '1') and (shrt_addr = x"45") else '0';   reg_d(69) &lt;= DIN;</v>
      </c>
    </row>
    <row r="71" spans="1:1" x14ac:dyDescent="0.25">
      <c r="A71" t="str">
        <f>IF(Table!I73="RO",CONCATENATE("     reg_ena","(",Table!D73,")"," &lt;= '1';","   ","reg_d(",Table!D73,") &lt;= x""FFFF"";"),CONCATENATE("     reg_ena","(",Table!D73,")"," &lt;= '1' when (LOAD = '1') and (shrt_addr = x""",DEC2HEX(Table!D73,2),""")"," else '0';","   ","reg_d(",Table!D73,") &lt;= DIN;"))</f>
        <v xml:space="preserve">     reg_ena(70) &lt;= '1' when (LOAD = '1') and (shrt_addr = x"46") else '0';   reg_d(70) &lt;= DIN;</v>
      </c>
    </row>
    <row r="72" spans="1:1" x14ac:dyDescent="0.25">
      <c r="A72" t="str">
        <f>IF(Table!I74="RO",CONCATENATE("     reg_ena","(",Table!D74,")"," &lt;= '1';","   ","reg_d(",Table!D74,") &lt;= x""FFFF"";"),CONCATENATE("     reg_ena","(",Table!D74,")"," &lt;= '1' when (LOAD = '1') and (shrt_addr = x""",DEC2HEX(Table!D74,2),""")"," else '0';","   ","reg_d(",Table!D74,") &lt;= DIN;"))</f>
        <v xml:space="preserve">     reg_ena(71) &lt;= '1' when (LOAD = '1') and (shrt_addr = x"47") else '0';   reg_d(71) &lt;= DIN;</v>
      </c>
    </row>
    <row r="73" spans="1:1" x14ac:dyDescent="0.25">
      <c r="A73" t="str">
        <f>IF(Table!I75="RO",CONCATENATE("     reg_ena","(",Table!D75,")"," &lt;= '1';","   ","reg_d(",Table!D75,") &lt;= x""FFFF"";"),CONCATENATE("     reg_ena","(",Table!D75,")"," &lt;= '1' when (LOAD = '1') and (shrt_addr = x""",DEC2HEX(Table!D75,2),""")"," else '0';","   ","reg_d(",Table!D75,") &lt;= DIN;"))</f>
        <v xml:space="preserve">     reg_ena(72) &lt;= '1' when (LOAD = '1') and (shrt_addr = x"48") else '0';   reg_d(72) &lt;= DIN;</v>
      </c>
    </row>
    <row r="74" spans="1:1" x14ac:dyDescent="0.25">
      <c r="A74" t="str">
        <f>IF(Table!I76="RO",CONCATENATE("     reg_ena","(",Table!D76,")"," &lt;= '1';","   ","reg_d(",Table!D76,") &lt;= x""FFFF"";"),CONCATENATE("     reg_ena","(",Table!D76,")"," &lt;= '1' when (LOAD = '1') and (shrt_addr = x""",DEC2HEX(Table!D76,2),""")"," else '0';","   ","reg_d(",Table!D76,") &lt;= DIN;"))</f>
        <v xml:space="preserve">     reg_ena(73) &lt;= '1' when (LOAD = '1') and (shrt_addr = x"49") else '0';   reg_d(73) &lt;= DIN;</v>
      </c>
    </row>
    <row r="75" spans="1:1" x14ac:dyDescent="0.25">
      <c r="A75" t="str">
        <f>IF(Table!I77="RO",CONCATENATE("     reg_ena","(",Table!D77,")"," &lt;= '1';","   ","reg_d(",Table!D77,") &lt;= x""FFFF"";"),CONCATENATE("     reg_ena","(",Table!D77,")"," &lt;= '1' when (LOAD = '1') and (shrt_addr = x""",DEC2HEX(Table!D77,2),""")"," else '0';","   ","reg_d(",Table!D77,") &lt;= DIN;"))</f>
        <v xml:space="preserve">     reg_ena(74) &lt;= '1' when (LOAD = '1') and (shrt_addr = x"4A") else '0';   reg_d(74) &lt;= DIN;</v>
      </c>
    </row>
    <row r="76" spans="1:1" x14ac:dyDescent="0.25">
      <c r="A76" t="str">
        <f>IF(Table!I78="RO",CONCATENATE("     reg_ena","(",Table!D78,")"," &lt;= '1';","   ","reg_d(",Table!D78,") &lt;= x""FFFF"";"),CONCATENATE("     reg_ena","(",Table!D78,")"," &lt;= '1' when (LOAD = '1') and (shrt_addr = x""",DEC2HEX(Table!D78,2),""")"," else '0';","   ","reg_d(",Table!D78,") &lt;= DIN;"))</f>
        <v xml:space="preserve">     reg_ena(75) &lt;= '1' when (LOAD = '1') and (shrt_addr = x"4B") else '0';   reg_d(75) &lt;= DIN;</v>
      </c>
    </row>
    <row r="77" spans="1:1" x14ac:dyDescent="0.25">
      <c r="A77" t="str">
        <f>IF(Table!I79="RO",CONCATENATE("     reg_ena","(",Table!D79,")"," &lt;= '1';","   ","reg_d(",Table!D79,") &lt;= x""FFFF"";"),CONCATENATE("     reg_ena","(",Table!D79,")"," &lt;= '1' when (LOAD = '1') and (shrt_addr = x""",DEC2HEX(Table!D79,2),""")"," else '0';","   ","reg_d(",Table!D79,") &lt;= DIN;"))</f>
        <v xml:space="preserve">     reg_ena(76) &lt;= '1' when (LOAD = '1') and (shrt_addr = x"4C") else '0';   reg_d(76) &lt;= DIN;</v>
      </c>
    </row>
    <row r="78" spans="1:1" x14ac:dyDescent="0.25">
      <c r="A78" t="str">
        <f>IF(Table!I80="RO",CONCATENATE("     reg_ena","(",Table!D80,")"," &lt;= '1';","   ","reg_d(",Table!D80,") &lt;= x""FFFF"";"),CONCATENATE("     reg_ena","(",Table!D80,")"," &lt;= '1' when (LOAD = '1') and (shrt_addr = x""",DEC2HEX(Table!D80,2),""")"," else '0';","   ","reg_d(",Table!D80,") &lt;= DIN;"))</f>
        <v xml:space="preserve">     reg_ena(77) &lt;= '1' when (LOAD = '1') and (shrt_addr = x"4D") else '0';   reg_d(77) &lt;= DIN;</v>
      </c>
    </row>
    <row r="79" spans="1:1" x14ac:dyDescent="0.25">
      <c r="A79" t="str">
        <f>IF(Table!I81="RO",CONCATENATE("     reg_ena","(",Table!D81,")"," &lt;= '1';","   ","reg_d(",Table!D81,") &lt;= x""FFFF"";"),CONCATENATE("     reg_ena","(",Table!D81,")"," &lt;= '1' when (LOAD = '1') and (shrt_addr = x""",DEC2HEX(Table!D81,2),""")"," else '0';","   ","reg_d(",Table!D81,") &lt;= DIN;"))</f>
        <v xml:space="preserve">     reg_ena(78) &lt;= '1' when (LOAD = '1') and (shrt_addr = x"4E") else '0';   reg_d(78) &lt;= DIN;</v>
      </c>
    </row>
    <row r="80" spans="1:1" x14ac:dyDescent="0.25">
      <c r="A80" t="str">
        <f>IF(Table!I82="RO",CONCATENATE("     reg_ena","(",Table!D82,")"," &lt;= '1';","   ","reg_d(",Table!D82,") &lt;= x""FFFF"";"),CONCATENATE("     reg_ena","(",Table!D82,")"," &lt;= '1' when (LOAD = '1') and (shrt_addr = x""",DEC2HEX(Table!D82,2),""")"," else '0';","   ","reg_d(",Table!D82,") &lt;= DIN;"))</f>
        <v xml:space="preserve">     reg_ena(79) &lt;= '1' when (LOAD = '1') and (shrt_addr = x"4F") else '0';   reg_d(79) &lt;= DIN;</v>
      </c>
    </row>
    <row r="81" spans="1:1" x14ac:dyDescent="0.25">
      <c r="A81" t="str">
        <f>IF(Table!I83="RO",CONCATENATE("     reg_ena","(",Table!D83,")"," &lt;= '1';","   ","reg_d(",Table!D83,") &lt;= x""FFFF"";"),CONCATENATE("     reg_ena","(",Table!D83,")"," &lt;= '1' when (LOAD = '1') and (shrt_addr = x""",DEC2HEX(Table!D83,2),""")"," else '0';","   ","reg_d(",Table!D83,") &lt;= DIN;"))</f>
        <v xml:space="preserve">     reg_ena(80) &lt;= '1' when (LOAD = '1') and (shrt_addr = x"50") else '0';   reg_d(80) &lt;= DIN;</v>
      </c>
    </row>
    <row r="82" spans="1:1" x14ac:dyDescent="0.25">
      <c r="A82" t="str">
        <f>IF(Table!I84="RO",CONCATENATE("     reg_ena","(",Table!D84,")"," &lt;= '1';","   ","reg_d(",Table!D84,") &lt;= x""FFFF"";"),CONCATENATE("     reg_ena","(",Table!D84,")"," &lt;= '1' when (LOAD = '1') and (shrt_addr = x""",DEC2HEX(Table!D84,2),""")"," else '0';","   ","reg_d(",Table!D84,") &lt;= DIN;"))</f>
        <v xml:space="preserve">     reg_ena(81) &lt;= '1' when (LOAD = '1') and (shrt_addr = x"51") else '0';   reg_d(81) &lt;= DIN;</v>
      </c>
    </row>
    <row r="83" spans="1:1" x14ac:dyDescent="0.25">
      <c r="A83" t="str">
        <f>IF(Table!I85="RO",CONCATENATE("     reg_ena","(",Table!D85,")"," &lt;= '1';","   ","reg_d(",Table!D85,") &lt;= x""FFFF"";"),CONCATENATE("     reg_ena","(",Table!D85,")"," &lt;= '1' when (LOAD = '1') and (shrt_addr = x""",DEC2HEX(Table!D85,2),""")"," else '0';","   ","reg_d(",Table!D85,") &lt;= DIN;"))</f>
        <v xml:space="preserve">     reg_ena(82) &lt;= '1' when (LOAD = '1') and (shrt_addr = x"52") else '0';   reg_d(82) &lt;= DIN;</v>
      </c>
    </row>
    <row r="84" spans="1:1" x14ac:dyDescent="0.25">
      <c r="A84" t="str">
        <f>IF(Table!I86="RO",CONCATENATE("     reg_ena","(",Table!D86,")"," &lt;= '1';","   ","reg_d(",Table!D86,") &lt;= x""FFFF"";"),CONCATENATE("     reg_ena","(",Table!D86,")"," &lt;= '1' when (LOAD = '1') and (shrt_addr = x""",DEC2HEX(Table!D86,2),""")"," else '0';","   ","reg_d(",Table!D86,") &lt;= DIN;"))</f>
        <v xml:space="preserve">     reg_ena(83) &lt;= '1' when (LOAD = '1') and (shrt_addr = x"53") else '0';   reg_d(83) &lt;= DIN;</v>
      </c>
    </row>
    <row r="85" spans="1:1" x14ac:dyDescent="0.25">
      <c r="A85" t="str">
        <f>IF(Table!I87="RO",CONCATENATE("     reg_ena","(",Table!D87,")"," &lt;= '1';","   ","reg_d(",Table!D87,") &lt;= x""FFFF"";"),CONCATENATE("     reg_ena","(",Table!D87,")"," &lt;= '1' when (LOAD = '1') and (shrt_addr = x""",DEC2HEX(Table!D87,2),""")"," else '0';","   ","reg_d(",Table!D87,") &lt;= DIN;"))</f>
        <v xml:space="preserve">     reg_ena(84) &lt;= '1' when (LOAD = '1') and (shrt_addr = x"54") else '0';   reg_d(84) &lt;= DIN;</v>
      </c>
    </row>
    <row r="86" spans="1:1" x14ac:dyDescent="0.25">
      <c r="A86" t="str">
        <f>IF(Table!I88="RO",CONCATENATE("     reg_ena","(",Table!D88,")"," &lt;= '1';","   ","reg_d(",Table!D88,") &lt;= x""FFFF"";"),CONCATENATE("     reg_ena","(",Table!D88,")"," &lt;= '1' when (LOAD = '1') and (shrt_addr = x""",DEC2HEX(Table!D88,2),""")"," else '0';","   ","reg_d(",Table!D88,") &lt;= DIN;"))</f>
        <v xml:space="preserve">     reg_ena(85) &lt;= '1' when (LOAD = '1') and (shrt_addr = x"55") else '0';   reg_d(85) &lt;= DIN;</v>
      </c>
    </row>
    <row r="87" spans="1:1" x14ac:dyDescent="0.25">
      <c r="A87" t="str">
        <f>IF(Table!I89="RO",CONCATENATE("     reg_ena","(",Table!D89,")"," &lt;= '1';","   ","reg_d(",Table!D89,") &lt;= x""FFFF"";"),CONCATENATE("     reg_ena","(",Table!D89,")"," &lt;= '1' when (LOAD = '1') and (shrt_addr = x""",DEC2HEX(Table!D89,2),""")"," else '0';","   ","reg_d(",Table!D89,") &lt;= DIN;"))</f>
        <v xml:space="preserve">     reg_ena(86) &lt;= '1' when (LOAD = '1') and (shrt_addr = x"56") else '0';   reg_d(86) &lt;= DIN;</v>
      </c>
    </row>
    <row r="88" spans="1:1" x14ac:dyDescent="0.25">
      <c r="A88" t="str">
        <f>IF(Table!I90="RO",CONCATENATE("     reg_ena","(",Table!D90,")"," &lt;= '1';","   ","reg_d(",Table!D90,") &lt;= x""FFFF"";"),CONCATENATE("     reg_ena","(",Table!D90,")"," &lt;= '1' when (LOAD = '1') and (shrt_addr = x""",DEC2HEX(Table!D90,2),""")"," else '0';","   ","reg_d(",Table!D90,") &lt;= DIN;"))</f>
        <v xml:space="preserve">     reg_ena(87) &lt;= '1' when (LOAD = '1') and (shrt_addr = x"57") else '0';   reg_d(87) &lt;= DIN;</v>
      </c>
    </row>
    <row r="89" spans="1:1" x14ac:dyDescent="0.25">
      <c r="A89" t="str">
        <f>IF(Table!I91="RO",CONCATENATE("     reg_ena","(",Table!D91,")"," &lt;= '1';","   ","reg_d(",Table!D91,") &lt;= x""FFFF"";"),CONCATENATE("     reg_ena","(",Table!D91,")"," &lt;= '1' when (LOAD = '1') and (shrt_addr = x""",DEC2HEX(Table!D91,2),""")"," else '0';","   ","reg_d(",Table!D91,") &lt;= DIN;"))</f>
        <v xml:space="preserve">     reg_ena(88) &lt;= '1' when (LOAD = '1') and (shrt_addr = x"58") else '0';   reg_d(88) &lt;= DIN;</v>
      </c>
    </row>
    <row r="90" spans="1:1" x14ac:dyDescent="0.25">
      <c r="A90" t="str">
        <f>IF(Table!I92="RO",CONCATENATE("     reg_ena","(",Table!D92,")"," &lt;= '1';","   ","reg_d(",Table!D92,") &lt;= x""FFFF"";"),CONCATENATE("     reg_ena","(",Table!D92,")"," &lt;= '1' when (LOAD = '1') and (shrt_addr = x""",DEC2HEX(Table!D92,2),""")"," else '0';","   ","reg_d(",Table!D92,") &lt;= DIN;"))</f>
        <v xml:space="preserve">     reg_ena(89) &lt;= '1' when (LOAD = '1') and (shrt_addr = x"59") else '0';   reg_d(89) &lt;= DIN;</v>
      </c>
    </row>
    <row r="91" spans="1:1" x14ac:dyDescent="0.25">
      <c r="A91" t="str">
        <f>IF(Table!I93="RO",CONCATENATE("     reg_ena","(",Table!D93,")"," &lt;= '1';","   ","reg_d(",Table!D93,") &lt;= x""FFFF"";"),CONCATENATE("     reg_ena","(",Table!D93,")"," &lt;= '1' when (LOAD = '1') and (shrt_addr = x""",DEC2HEX(Table!D93,2),""")"," else '0';","   ","reg_d(",Table!D93,") &lt;= DIN;"))</f>
        <v xml:space="preserve">     reg_ena(90) &lt;= '1' when (LOAD = '1') and (shrt_addr = x"5A") else '0';   reg_d(90) &lt;= DIN;</v>
      </c>
    </row>
    <row r="92" spans="1:1" x14ac:dyDescent="0.25">
      <c r="A92" t="str">
        <f>IF(Table!I94="RO",CONCATENATE("     reg_ena","(",Table!D94,")"," &lt;= '1';","   ","reg_d(",Table!D94,") &lt;= x""FFFF"";"),CONCATENATE("     reg_ena","(",Table!D94,")"," &lt;= '1' when (LOAD = '1') and (shrt_addr = x""",DEC2HEX(Table!D94,2),""")"," else '0';","   ","reg_d(",Table!D94,") &lt;= DIN;"))</f>
        <v xml:space="preserve">     reg_ena(91) &lt;= '1' when (LOAD = '1') and (shrt_addr = x"5B") else '0';   reg_d(91) &lt;= DIN;</v>
      </c>
    </row>
    <row r="93" spans="1:1" x14ac:dyDescent="0.25">
      <c r="A93" t="str">
        <f>IF(Table!I95="RO",CONCATENATE("     reg_ena","(",Table!D95,")"," &lt;= '1';","   ","reg_d(",Table!D95,") &lt;= x""FFFF"";"),CONCATENATE("     reg_ena","(",Table!D95,")"," &lt;= '1' when (LOAD = '1') and (shrt_addr = x""",DEC2HEX(Table!D95,2),""")"," else '0';","   ","reg_d(",Table!D95,") &lt;= DIN;"))</f>
        <v xml:space="preserve">     reg_ena(92) &lt;= '1' when (LOAD = '1') and (shrt_addr = x"5C") else '0';   reg_d(92) &lt;= DIN;</v>
      </c>
    </row>
    <row r="94" spans="1:1" x14ac:dyDescent="0.25">
      <c r="A94" t="str">
        <f>IF(Table!I96="RO",CONCATENATE("     reg_ena","(",Table!D96,")"," &lt;= '1';","   ","reg_d(",Table!D96,") &lt;= x""FFFF"";"),CONCATENATE("     reg_ena","(",Table!D96,")"," &lt;= '1' when (LOAD = '1') and (shrt_addr = x""",DEC2HEX(Table!D96,2),""")"," else '0';","   ","reg_d(",Table!D96,") &lt;= DIN;"))</f>
        <v xml:space="preserve">     reg_ena(93) &lt;= '1' when (LOAD = '1') and (shrt_addr = x"5D") else '0';   reg_d(93) &lt;= DIN;</v>
      </c>
    </row>
    <row r="95" spans="1:1" x14ac:dyDescent="0.25">
      <c r="A95" t="str">
        <f>IF(Table!I97="RO",CONCATENATE("     reg_ena","(",Table!D97,")"," &lt;= '1';","   ","reg_d(",Table!D97,") &lt;= x""FFFF"";"),CONCATENATE("     reg_ena","(",Table!D97,")"," &lt;= '1' when (LOAD = '1') and (shrt_addr = x""",DEC2HEX(Table!D97,2),""")"," else '0';","   ","reg_d(",Table!D97,") &lt;= DIN;"))</f>
        <v xml:space="preserve">     reg_ena(94) &lt;= '1' when (LOAD = '1') and (shrt_addr = x"5E") else '0';   reg_d(94) &lt;= DIN;</v>
      </c>
    </row>
    <row r="96" spans="1:1" x14ac:dyDescent="0.25">
      <c r="A96" t="str">
        <f>IF(Table!I98="RO",CONCATENATE("     reg_ena","(",Table!D98,")"," &lt;= '1';","   ","reg_d(",Table!D98,") &lt;= x""FFFF"";"),CONCATENATE("     reg_ena","(",Table!D98,")"," &lt;= '1' when (LOAD = '1') and (shrt_addr = x""",DEC2HEX(Table!D98,2),""")"," else '0';","   ","reg_d(",Table!D98,") &lt;= DIN;"))</f>
        <v xml:space="preserve">     reg_ena(95) &lt;= '1' when (LOAD = '1') and (shrt_addr = x"5F") else '0';   reg_d(95) &lt;= DIN;</v>
      </c>
    </row>
    <row r="97" spans="1:1" x14ac:dyDescent="0.25">
      <c r="A97" t="str">
        <f>IF(Table!I99="RO",CONCATENATE("     reg_ena","(",Table!D99,")"," &lt;= '1';","   ","reg_d(",Table!D99,") &lt;= x""FFFF"";"),CONCATENATE("     reg_ena","(",Table!D99,")"," &lt;= '1' when (LOAD = '1') and (shrt_addr = x""",DEC2HEX(Table!D99,2),""")"," else '0';","   ","reg_d(",Table!D99,") &lt;= DIN;"))</f>
        <v xml:space="preserve">     reg_ena(96) &lt;= '1' when (LOAD = '1') and (shrt_addr = x"60") else '0';   reg_d(96) &lt;= DIN;</v>
      </c>
    </row>
    <row r="98" spans="1:1" x14ac:dyDescent="0.25">
      <c r="A98" t="str">
        <f>IF(Table!I100="RO",CONCATENATE("     reg_ena","(",Table!D100,")"," &lt;= '1';","   ","reg_d(",Table!D100,") &lt;= x""FFFF"";"),CONCATENATE("     reg_ena","(",Table!D100,")"," &lt;= '1' when (LOAD = '1') and (shrt_addr = x""",DEC2HEX(Table!D100,2),""")"," else '0';","   ","reg_d(",Table!D100,") &lt;= DIN;"))</f>
        <v xml:space="preserve">     reg_ena(97) &lt;= '1' when (LOAD = '1') and (shrt_addr = x"61") else '0';   reg_d(97) &lt;= DIN;</v>
      </c>
    </row>
    <row r="99" spans="1:1" x14ac:dyDescent="0.25">
      <c r="A99" t="str">
        <f>IF(Table!I101="RO",CONCATENATE("     reg_ena","(",Table!D101,")"," &lt;= '1';","   ","reg_d(",Table!D101,") &lt;= x""FFFF"";"),CONCATENATE("     reg_ena","(",Table!D101,")"," &lt;= '1' when (LOAD = '1') and (shrt_addr = x""",DEC2HEX(Table!D101,2),""")"," else '0';","   ","reg_d(",Table!D101,") &lt;= DIN;"))</f>
        <v xml:space="preserve">     reg_ena(98) &lt;= '1';   reg_d(98) &lt;= x"FFFF";</v>
      </c>
    </row>
    <row r="100" spans="1:1" x14ac:dyDescent="0.25">
      <c r="A100" t="str">
        <f>IF(Table!I102="RO",CONCATENATE("     reg_ena","(",Table!D102,")"," &lt;= '1';","   ","reg_d(",Table!D102,") &lt;= x""FFFF"";"),CONCATENATE("     reg_ena","(",Table!D102,")"," &lt;= '1' when (LOAD = '1') and (shrt_addr = x""",DEC2HEX(Table!D102,2),""")"," else '0';","   ","reg_d(",Table!D102,") &lt;= DIN;"))</f>
        <v xml:space="preserve">     reg_ena(99) &lt;= '1' when (LOAD = '1') and (shrt_addr = x"63") else '0';   reg_d(99) &lt;= DIN;</v>
      </c>
    </row>
    <row r="101" spans="1:1" x14ac:dyDescent="0.25">
      <c r="A101" t="str">
        <f>IF(Table!I103="RO",CONCATENATE("     reg_ena","(",Table!D103,")"," &lt;= '1';","   ","reg_d(",Table!D103,") &lt;= x""FFFF"";"),CONCATENATE("     reg_ena","(",Table!D103,")"," &lt;= '1' when (LOAD = '1') and (shrt_addr = x""",DEC2HEX(Table!D103,2),""")"," else '0';","   ","reg_d(",Table!D103,") &lt;= DIN;"))</f>
        <v xml:space="preserve">     reg_ena(100) &lt;= '1' when (LOAD = '1') and (shrt_addr = x"64") else '0';   reg_d(100) &lt;= DIN;</v>
      </c>
    </row>
    <row r="102" spans="1:1" x14ac:dyDescent="0.25">
      <c r="A102" t="str">
        <f>IF(Table!I104="RO",CONCATENATE("     reg_ena","(",Table!D104,")"," &lt;= '1';","   ","reg_d(",Table!D104,") &lt;= x""FFFF"";"),CONCATENATE("     reg_ena","(",Table!D104,")"," &lt;= '1' when (LOAD = '1') and (shrt_addr = x""",DEC2HEX(Table!D104,2),""")"," else '0';","   ","reg_d(",Table!D104,") &lt;= DIN;"))</f>
        <v xml:space="preserve">     reg_ena(101) &lt;= '1' when (LOAD = '1') and (shrt_addr = x"65") else '0';   reg_d(101) &lt;= DIN;</v>
      </c>
    </row>
    <row r="103" spans="1:1" x14ac:dyDescent="0.25">
      <c r="A103" t="str">
        <f>IF(Table!I105="RO",CONCATENATE("     reg_ena","(",Table!D105,")"," &lt;= '1';","   ","reg_d(",Table!D105,") &lt;= x""FFFF"";"),CONCATENATE("     reg_ena","(",Table!D105,")"," &lt;= '1' when (LOAD = '1') and (shrt_addr = x""",DEC2HEX(Table!D105,2),""")"," else '0';","   ","reg_d(",Table!D105,") &lt;= DIN;"))</f>
        <v xml:space="preserve">     reg_ena(102) &lt;= '1' when (LOAD = '1') and (shrt_addr = x"66") else '0';   reg_d(102) &lt;= DIN;</v>
      </c>
    </row>
    <row r="104" spans="1:1" x14ac:dyDescent="0.25">
      <c r="A104" t="str">
        <f>IF(Table!I106="RO",CONCATENATE("     reg_ena","(",Table!D106,")"," &lt;= '1';","   ","reg_d(",Table!D106,") &lt;= x""FFFF"";"),CONCATENATE("     reg_ena","(",Table!D106,")"," &lt;= '1' when (LOAD = '1') and (shrt_addr = x""",DEC2HEX(Table!D106,2),""")"," else '0';","   ","reg_d(",Table!D106,") &lt;= DIN;"))</f>
        <v xml:space="preserve">     reg_ena(103) &lt;= '1' when (LOAD = '1') and (shrt_addr = x"67") else '0';   reg_d(103) &lt;= DIN;</v>
      </c>
    </row>
    <row r="105" spans="1:1" x14ac:dyDescent="0.25">
      <c r="A105" t="str">
        <f>IF(Table!I107="RO",CONCATENATE("     reg_ena","(",Table!D107,")"," &lt;= '1';","   ","reg_d(",Table!D107,") &lt;= x""FFFF"";"),CONCATENATE("     reg_ena","(",Table!D107,")"," &lt;= '1' when (LOAD = '1') and (shrt_addr = x""",DEC2HEX(Table!D107,2),""")"," else '0';","   ","reg_d(",Table!D107,") &lt;= DIN;"))</f>
        <v xml:space="preserve">     reg_ena(104) &lt;= '1' when (LOAD = '1') and (shrt_addr = x"68") else '0';   reg_d(104) &lt;= DIN;</v>
      </c>
    </row>
    <row r="106" spans="1:1" x14ac:dyDescent="0.25">
      <c r="A106" t="str">
        <f>IF(Table!I108="RO",CONCATENATE("     reg_ena","(",Table!D108,")"," &lt;= '1';","   ","reg_d(",Table!D108,") &lt;= x""FFFF"";"),CONCATENATE("     reg_ena","(",Table!D108,")"," &lt;= '1' when (LOAD = '1') and (shrt_addr = x""",DEC2HEX(Table!D108,2),""")"," else '0';","   ","reg_d(",Table!D108,") &lt;= DIN;"))</f>
        <v xml:space="preserve">     reg_ena(105) &lt;= '1';   reg_d(105) &lt;= x"FFFF";</v>
      </c>
    </row>
    <row r="108" spans="1:1" x14ac:dyDescent="0.25">
      <c r="A108" s="25" t="s">
        <v>428</v>
      </c>
    </row>
    <row r="109" spans="1:1" x14ac:dyDescent="0.25">
      <c r="A109" t="str">
        <f>CONCATENATE("     reg_q(",Table!D3,") when x""",DEC2HEX(Table!D3,2),"""",",")</f>
        <v xml:space="preserve">     reg_q(0) when x"00",</v>
      </c>
    </row>
    <row r="110" spans="1:1" x14ac:dyDescent="0.25">
      <c r="A110" t="str">
        <f>CONCATENATE("     reg_q(",Table!D4,") when x""",DEC2HEX(Table!D4,2),"""",",")</f>
        <v xml:space="preserve">     reg_q(1) when x"01",</v>
      </c>
    </row>
    <row r="111" spans="1:1" x14ac:dyDescent="0.25">
      <c r="A111" t="str">
        <f>CONCATENATE("     reg_q(",Table!D5,") when x""",DEC2HEX(Table!D5,2),"""",",")</f>
        <v xml:space="preserve">     reg_q(2) when x"02",</v>
      </c>
    </row>
    <row r="112" spans="1:1" x14ac:dyDescent="0.25">
      <c r="A112" t="str">
        <f>CONCATENATE("     reg_q(",Table!D6,") when x""",DEC2HEX(Table!D6,2),"""",",")</f>
        <v xml:space="preserve">     reg_q(3) when x"03",</v>
      </c>
    </row>
    <row r="113" spans="1:1" x14ac:dyDescent="0.25">
      <c r="A113" t="str">
        <f>CONCATENATE("     reg_q(",Table!D7,") when x""",DEC2HEX(Table!D7,2),"""",",")</f>
        <v xml:space="preserve">     reg_q(4) when x"04",</v>
      </c>
    </row>
    <row r="114" spans="1:1" x14ac:dyDescent="0.25">
      <c r="A114" t="str">
        <f>CONCATENATE("     reg_q(",Table!D8,") when x""",DEC2HEX(Table!D8,2),"""",",")</f>
        <v xml:space="preserve">     reg_q(5) when x"05",</v>
      </c>
    </row>
    <row r="115" spans="1:1" x14ac:dyDescent="0.25">
      <c r="A115" t="str">
        <f>CONCATENATE("     reg_q(",Table!D9,") when x""",DEC2HEX(Table!D9,2),"""",",")</f>
        <v xml:space="preserve">     reg_q(6) when x"06",</v>
      </c>
    </row>
    <row r="116" spans="1:1" x14ac:dyDescent="0.25">
      <c r="A116" t="str">
        <f>CONCATENATE("     reg_q(",Table!D10,") when x""",DEC2HEX(Table!D10,2),"""",",")</f>
        <v xml:space="preserve">     reg_q(7) when x"07",</v>
      </c>
    </row>
    <row r="117" spans="1:1" x14ac:dyDescent="0.25">
      <c r="A117" t="str">
        <f>CONCATENATE("     reg_q(",Table!D11,") when x""",DEC2HEX(Table!D11,2),"""",",")</f>
        <v xml:space="preserve">     reg_q(8) when x"08",</v>
      </c>
    </row>
    <row r="118" spans="1:1" x14ac:dyDescent="0.25">
      <c r="A118" t="str">
        <f>CONCATENATE("     reg_q(",Table!D12,") when x""",DEC2HEX(Table!D12,2),"""",",")</f>
        <v xml:space="preserve">     reg_q(9) when x"09",</v>
      </c>
    </row>
    <row r="119" spans="1:1" x14ac:dyDescent="0.25">
      <c r="A119" t="str">
        <f>CONCATENATE("     reg_q(",Table!D13,") when x""",DEC2HEX(Table!D13,2),"""",",")</f>
        <v xml:space="preserve">     reg_q(10) when x"0A",</v>
      </c>
    </row>
    <row r="120" spans="1:1" x14ac:dyDescent="0.25">
      <c r="A120" t="str">
        <f>CONCATENATE("     reg_q(",Table!D14,") when x""",DEC2HEX(Table!D14,2),"""",",")</f>
        <v xml:space="preserve">     reg_q(11) when x"0B",</v>
      </c>
    </row>
    <row r="121" spans="1:1" x14ac:dyDescent="0.25">
      <c r="A121" t="str">
        <f>CONCATENATE("     reg_q(",Table!D15,") when x""",DEC2HEX(Table!D15,2),"""",",")</f>
        <v xml:space="preserve">     reg_q(12) when x"0C",</v>
      </c>
    </row>
    <row r="122" spans="1:1" x14ac:dyDescent="0.25">
      <c r="A122" t="str">
        <f>CONCATENATE("     reg_q(",Table!D16,") when x""",DEC2HEX(Table!D16,2),"""",",")</f>
        <v xml:space="preserve">     reg_q(13) when x"0D",</v>
      </c>
    </row>
    <row r="123" spans="1:1" x14ac:dyDescent="0.25">
      <c r="A123" t="str">
        <f>CONCATENATE("     reg_q(",Table!D17,") when x""",DEC2HEX(Table!D17,2),"""",",")</f>
        <v xml:space="preserve">     reg_q(14) when x"0E",</v>
      </c>
    </row>
    <row r="124" spans="1:1" x14ac:dyDescent="0.25">
      <c r="A124" t="str">
        <f>CONCATENATE("     reg_q(",Table!D18,") when x""",DEC2HEX(Table!D18,2),"""",",")</f>
        <v xml:space="preserve">     reg_q(15) when x"0F",</v>
      </c>
    </row>
    <row r="125" spans="1:1" x14ac:dyDescent="0.25">
      <c r="A125" t="str">
        <f>CONCATENATE("     reg_q(",Table!D19,") when x""",DEC2HEX(Table!D19,2),"""",",")</f>
        <v xml:space="preserve">     reg_q(16) when x"10",</v>
      </c>
    </row>
    <row r="126" spans="1:1" x14ac:dyDescent="0.25">
      <c r="A126" t="str">
        <f>CONCATENATE("     reg_q(",Table!D20,") when x""",DEC2HEX(Table!D20,2),"""",",")</f>
        <v xml:space="preserve">     reg_q(17) when x"11",</v>
      </c>
    </row>
    <row r="127" spans="1:1" x14ac:dyDescent="0.25">
      <c r="A127" t="str">
        <f>CONCATENATE("     reg_q(",Table!D21,") when x""",DEC2HEX(Table!D21,2),"""",",")</f>
        <v xml:space="preserve">     reg_q(18) when x"12",</v>
      </c>
    </row>
    <row r="128" spans="1:1" x14ac:dyDescent="0.25">
      <c r="A128" t="str">
        <f>CONCATENATE("     reg_q(",Table!D22,") when x""",DEC2HEX(Table!D22,2),"""",",")</f>
        <v xml:space="preserve">     reg_q(19) when x"13",</v>
      </c>
    </row>
    <row r="129" spans="1:1" x14ac:dyDescent="0.25">
      <c r="A129" t="str">
        <f>CONCATENATE("     reg_q(",Table!D23,") when x""",DEC2HEX(Table!D23,2),"""",",")</f>
        <v xml:space="preserve">     reg_q(20) when x"14",</v>
      </c>
    </row>
    <row r="130" spans="1:1" x14ac:dyDescent="0.25">
      <c r="A130" t="str">
        <f>CONCATENATE("     reg_q(",Table!D24,") when x""",DEC2HEX(Table!D24,2),"""",",")</f>
        <v xml:space="preserve">     reg_q(21) when x"15",</v>
      </c>
    </row>
    <row r="131" spans="1:1" x14ac:dyDescent="0.25">
      <c r="A131" t="str">
        <f>CONCATENATE("     reg_q(",Table!D25,") when x""",DEC2HEX(Table!D25,2),"""",",")</f>
        <v xml:space="preserve">     reg_q(22) when x"16",</v>
      </c>
    </row>
    <row r="132" spans="1:1" x14ac:dyDescent="0.25">
      <c r="A132" t="str">
        <f>CONCATENATE("     reg_q(",Table!D26,") when x""",DEC2HEX(Table!D26,2),"""",",")</f>
        <v xml:space="preserve">     reg_q(23) when x"17",</v>
      </c>
    </row>
    <row r="133" spans="1:1" x14ac:dyDescent="0.25">
      <c r="A133" t="str">
        <f>CONCATENATE("     reg_q(",Table!D27,") when x""",DEC2HEX(Table!D27,2),"""",",")</f>
        <v xml:space="preserve">     reg_q(24) when x"18",</v>
      </c>
    </row>
    <row r="134" spans="1:1" x14ac:dyDescent="0.25">
      <c r="A134" t="str">
        <f>CONCATENATE("     reg_q(",Table!D28,") when x""",DEC2HEX(Table!D28,2),"""",",")</f>
        <v xml:space="preserve">     reg_q(25) when x"19",</v>
      </c>
    </row>
    <row r="135" spans="1:1" x14ac:dyDescent="0.25">
      <c r="A135" t="str">
        <f>CONCATENATE("     reg_q(",Table!D29,") when x""",DEC2HEX(Table!D29,2),"""",",")</f>
        <v xml:space="preserve">     reg_q(26) when x"1A",</v>
      </c>
    </row>
    <row r="136" spans="1:1" x14ac:dyDescent="0.25">
      <c r="A136" t="str">
        <f>CONCATENATE("     reg_q(",Table!D30,") when x""",DEC2HEX(Table!D30,2),"""",",")</f>
        <v xml:space="preserve">     reg_q(27) when x"1B",</v>
      </c>
    </row>
    <row r="137" spans="1:1" x14ac:dyDescent="0.25">
      <c r="A137" t="str">
        <f>CONCATENATE("     reg_q(",Table!D31,") when x""",DEC2HEX(Table!D31,2),"""",",")</f>
        <v xml:space="preserve">     reg_q(28) when x"1C",</v>
      </c>
    </row>
    <row r="138" spans="1:1" x14ac:dyDescent="0.25">
      <c r="A138" t="str">
        <f>CONCATENATE("     reg_q(",Table!D32,") when x""",DEC2HEX(Table!D32,2),"""",",")</f>
        <v xml:space="preserve">     reg_q(29) when x"1D",</v>
      </c>
    </row>
    <row r="139" spans="1:1" x14ac:dyDescent="0.25">
      <c r="A139" t="str">
        <f>CONCATENATE("     reg_q(",Table!D33,") when x""",DEC2HEX(Table!D33,2),"""",",")</f>
        <v xml:space="preserve">     reg_q(30) when x"1E",</v>
      </c>
    </row>
    <row r="140" spans="1:1" x14ac:dyDescent="0.25">
      <c r="A140" t="str">
        <f>CONCATENATE("     reg_q(",Table!D34,") when x""",DEC2HEX(Table!D34,2),"""",",")</f>
        <v xml:space="preserve">     reg_q(31) when x"1F",</v>
      </c>
    </row>
    <row r="141" spans="1:1" x14ac:dyDescent="0.25">
      <c r="A141" t="str">
        <f>CONCATENATE("     reg_q(",Table!D35,") when x""",DEC2HEX(Table!D35,2),"""",",")</f>
        <v xml:space="preserve">     reg_q(32) when x"20",</v>
      </c>
    </row>
    <row r="142" spans="1:1" x14ac:dyDescent="0.25">
      <c r="A142" t="str">
        <f>CONCATENATE("     reg_q(",Table!D36,") when x""",DEC2HEX(Table!D36,2),"""",",")</f>
        <v xml:space="preserve">     reg_q(33) when x"21",</v>
      </c>
    </row>
    <row r="143" spans="1:1" x14ac:dyDescent="0.25">
      <c r="A143" t="str">
        <f>CONCATENATE("     reg_q(",Table!D37,") when x""",DEC2HEX(Table!D37,2),"""",",")</f>
        <v xml:space="preserve">     reg_q(34) when x"22",</v>
      </c>
    </row>
    <row r="144" spans="1:1" x14ac:dyDescent="0.25">
      <c r="A144" t="str">
        <f>CONCATENATE("     reg_q(",Table!D38,") when x""",DEC2HEX(Table!D38,2),"""",",")</f>
        <v xml:space="preserve">     reg_q(35) when x"23",</v>
      </c>
    </row>
    <row r="145" spans="1:1" x14ac:dyDescent="0.25">
      <c r="A145" t="str">
        <f>CONCATENATE("     reg_q(",Table!D39,") when x""",DEC2HEX(Table!D39,2),"""",",")</f>
        <v xml:space="preserve">     reg_q(36) when x"24",</v>
      </c>
    </row>
    <row r="146" spans="1:1" x14ac:dyDescent="0.25">
      <c r="A146" t="str">
        <f>CONCATENATE("     reg_q(",Table!D40,") when x""",DEC2HEX(Table!D40,2),"""",",")</f>
        <v xml:space="preserve">     reg_q(37) when x"25",</v>
      </c>
    </row>
    <row r="147" spans="1:1" x14ac:dyDescent="0.25">
      <c r="A147" t="str">
        <f>CONCATENATE("     reg_q(",Table!D41,") when x""",DEC2HEX(Table!D41,2),"""",",")</f>
        <v xml:space="preserve">     reg_q(38) when x"26",</v>
      </c>
    </row>
    <row r="148" spans="1:1" x14ac:dyDescent="0.25">
      <c r="A148" t="str">
        <f>CONCATENATE("     reg_q(",Table!D42,") when x""",DEC2HEX(Table!D42,2),"""",",")</f>
        <v xml:space="preserve">     reg_q(39) when x"27",</v>
      </c>
    </row>
    <row r="149" spans="1:1" x14ac:dyDescent="0.25">
      <c r="A149" t="str">
        <f>CONCATENATE("     reg_q(",Table!D43,") when x""",DEC2HEX(Table!D43,2),"""",",")</f>
        <v xml:space="preserve">     reg_q(40) when x"28",</v>
      </c>
    </row>
    <row r="150" spans="1:1" x14ac:dyDescent="0.25">
      <c r="A150" t="str">
        <f>CONCATENATE("     reg_q(",Table!D44,") when x""",DEC2HEX(Table!D44,2),"""",",")</f>
        <v xml:space="preserve">     reg_q(41) when x"29",</v>
      </c>
    </row>
    <row r="151" spans="1:1" x14ac:dyDescent="0.25">
      <c r="A151" t="str">
        <f>CONCATENATE("     reg_q(",Table!D45,") when x""",DEC2HEX(Table!D45,2),"""",",")</f>
        <v xml:space="preserve">     reg_q(42) when x"2A",</v>
      </c>
    </row>
    <row r="152" spans="1:1" x14ac:dyDescent="0.25">
      <c r="A152" t="str">
        <f>CONCATENATE("     reg_q(",Table!D46,") when x""",DEC2HEX(Table!D46,2),"""",",")</f>
        <v xml:space="preserve">     reg_q(43) when x"2B",</v>
      </c>
    </row>
    <row r="153" spans="1:1" x14ac:dyDescent="0.25">
      <c r="A153" t="str">
        <f>CONCATENATE("     reg_q(",Table!D47,") when x""",DEC2HEX(Table!D47,2),"""",",")</f>
        <v xml:space="preserve">     reg_q(44) when x"2C",</v>
      </c>
    </row>
    <row r="154" spans="1:1" x14ac:dyDescent="0.25">
      <c r="A154" t="str">
        <f>CONCATENATE("     reg_q(",Table!D48,") when x""",DEC2HEX(Table!D48,2),"""",",")</f>
        <v xml:space="preserve">     reg_q(45) when x"2D",</v>
      </c>
    </row>
    <row r="155" spans="1:1" x14ac:dyDescent="0.25">
      <c r="A155" t="str">
        <f>CONCATENATE("     reg_q(",Table!D49,") when x""",DEC2HEX(Table!D49,2),"""",",")</f>
        <v xml:space="preserve">     reg_q(46) when x"2E",</v>
      </c>
    </row>
    <row r="156" spans="1:1" x14ac:dyDescent="0.25">
      <c r="A156" t="str">
        <f>CONCATENATE("     reg_q(",Table!D50,") when x""",DEC2HEX(Table!D50,2),"""",",")</f>
        <v xml:space="preserve">     reg_q(47) when x"2F",</v>
      </c>
    </row>
    <row r="157" spans="1:1" x14ac:dyDescent="0.25">
      <c r="A157" t="str">
        <f>CONCATENATE("     reg_q(",Table!D51,") when x""",DEC2HEX(Table!D51,2),"""",",")</f>
        <v xml:space="preserve">     reg_q(48) when x"30",</v>
      </c>
    </row>
    <row r="158" spans="1:1" x14ac:dyDescent="0.25">
      <c r="A158" t="str">
        <f>CONCATENATE("     reg_q(",Table!D52,") when x""",DEC2HEX(Table!D52,2),"""",",")</f>
        <v xml:space="preserve">     reg_q(49) when x"31",</v>
      </c>
    </row>
    <row r="159" spans="1:1" x14ac:dyDescent="0.25">
      <c r="A159" t="str">
        <f>CONCATENATE("     reg_q(",Table!D53,") when x""",DEC2HEX(Table!D53,2),"""",",")</f>
        <v xml:space="preserve">     reg_q(50) when x"32",</v>
      </c>
    </row>
    <row r="160" spans="1:1" x14ac:dyDescent="0.25">
      <c r="A160" t="str">
        <f>CONCATENATE("     reg_q(",Table!D54,") when x""",DEC2HEX(Table!D54,2),"""",",")</f>
        <v xml:space="preserve">     reg_q(51) when x"33",</v>
      </c>
    </row>
    <row r="161" spans="1:1" x14ac:dyDescent="0.25">
      <c r="A161" t="str">
        <f>CONCATENATE("     reg_q(",Table!D55,") when x""",DEC2HEX(Table!D55,2),"""",",")</f>
        <v xml:space="preserve">     reg_q(52) when x"34",</v>
      </c>
    </row>
    <row r="162" spans="1:1" x14ac:dyDescent="0.25">
      <c r="A162" t="str">
        <f>CONCATENATE("     reg_q(",Table!D56,") when x""",DEC2HEX(Table!D56,2),"""",",")</f>
        <v xml:space="preserve">     reg_q(53) when x"35",</v>
      </c>
    </row>
    <row r="163" spans="1:1" x14ac:dyDescent="0.25">
      <c r="A163" t="str">
        <f>CONCATENATE("     reg_q(",Table!D57,") when x""",DEC2HEX(Table!D57,2),"""",",")</f>
        <v xml:space="preserve">     reg_q(54) when x"36",</v>
      </c>
    </row>
    <row r="164" spans="1:1" x14ac:dyDescent="0.25">
      <c r="A164" t="str">
        <f>CONCATENATE("     reg_q(",Table!D58,") when x""",DEC2HEX(Table!D58,2),"""",",")</f>
        <v xml:space="preserve">     reg_q(55) when x"37",</v>
      </c>
    </row>
    <row r="165" spans="1:1" x14ac:dyDescent="0.25">
      <c r="A165" t="str">
        <f>CONCATENATE("     reg_q(",Table!D59,") when x""",DEC2HEX(Table!D59,2),"""",",")</f>
        <v xml:space="preserve">     reg_q(56) when x"38",</v>
      </c>
    </row>
    <row r="166" spans="1:1" x14ac:dyDescent="0.25">
      <c r="A166" t="str">
        <f>CONCATENATE("     reg_q(",Table!D60,") when x""",DEC2HEX(Table!D60,2),"""",",")</f>
        <v xml:space="preserve">     reg_q(57) when x"39",</v>
      </c>
    </row>
    <row r="167" spans="1:1" x14ac:dyDescent="0.25">
      <c r="A167" t="str">
        <f>CONCATENATE("     reg_q(",Table!D61,") when x""",DEC2HEX(Table!D61,2),"""",",")</f>
        <v xml:space="preserve">     reg_q(58) when x"3A",</v>
      </c>
    </row>
    <row r="168" spans="1:1" x14ac:dyDescent="0.25">
      <c r="A168" t="str">
        <f>CONCATENATE("     reg_q(",Table!D62,") when x""",DEC2HEX(Table!D62,2),"""",",")</f>
        <v xml:space="preserve">     reg_q(59) when x"3B",</v>
      </c>
    </row>
    <row r="169" spans="1:1" x14ac:dyDescent="0.25">
      <c r="A169" t="str">
        <f>CONCATENATE("     reg_q(",Table!D63,") when x""",DEC2HEX(Table!D63,2),"""",",")</f>
        <v xml:space="preserve">     reg_q(60) when x"3C",</v>
      </c>
    </row>
    <row r="170" spans="1:1" x14ac:dyDescent="0.25">
      <c r="A170" t="str">
        <f>CONCATENATE("     reg_q(",Table!D64,") when x""",DEC2HEX(Table!D64,2),"""",",")</f>
        <v xml:space="preserve">     reg_q(61) when x"3D",</v>
      </c>
    </row>
    <row r="171" spans="1:1" x14ac:dyDescent="0.25">
      <c r="A171" t="str">
        <f>CONCATENATE("     reg_q(",Table!D65,") when x""",DEC2HEX(Table!D65,2),"""",",")</f>
        <v xml:space="preserve">     reg_q(62) when x"3E",</v>
      </c>
    </row>
    <row r="172" spans="1:1" x14ac:dyDescent="0.25">
      <c r="A172" t="str">
        <f>CONCATENATE("     reg_q(",Table!D66,") when x""",DEC2HEX(Table!D66,2),"""",",")</f>
        <v xml:space="preserve">     reg_q(63) when x"3F",</v>
      </c>
    </row>
    <row r="173" spans="1:1" x14ac:dyDescent="0.25">
      <c r="A173" t="str">
        <f>CONCATENATE("     reg_q(",Table!D67,") when x""",DEC2HEX(Table!D67,2),"""",",")</f>
        <v xml:space="preserve">     reg_q(64) when x"40",</v>
      </c>
    </row>
    <row r="174" spans="1:1" x14ac:dyDescent="0.25">
      <c r="A174" t="str">
        <f>CONCATENATE("     reg_q(",Table!D68,") when x""",DEC2HEX(Table!D68,2),"""",",")</f>
        <v xml:space="preserve">     reg_q(65) when x"41",</v>
      </c>
    </row>
    <row r="175" spans="1:1" x14ac:dyDescent="0.25">
      <c r="A175" t="str">
        <f>CONCATENATE("     reg_q(",Table!D69,") when x""",DEC2HEX(Table!D69,2),"""",",")</f>
        <v xml:space="preserve">     reg_q(66) when x"42",</v>
      </c>
    </row>
    <row r="176" spans="1:1" x14ac:dyDescent="0.25">
      <c r="A176" t="str">
        <f>CONCATENATE("     reg_q(",Table!D70,") when x""",DEC2HEX(Table!D70,2),"""",",")</f>
        <v xml:space="preserve">     reg_q(67) when x"43",</v>
      </c>
    </row>
    <row r="177" spans="1:1" x14ac:dyDescent="0.25">
      <c r="A177" t="str">
        <f>CONCATENATE("     reg_q(",Table!D71,") when x""",DEC2HEX(Table!D71,2),"""",",")</f>
        <v xml:space="preserve">     reg_q(68) when x"44",</v>
      </c>
    </row>
    <row r="178" spans="1:1" x14ac:dyDescent="0.25">
      <c r="A178" t="str">
        <f>CONCATENATE("     reg_q(",Table!D72,") when x""",DEC2HEX(Table!D72,2),"""",",")</f>
        <v xml:space="preserve">     reg_q(69) when x"45",</v>
      </c>
    </row>
    <row r="179" spans="1:1" x14ac:dyDescent="0.25">
      <c r="A179" t="str">
        <f>CONCATENATE("     reg_q(",Table!D73,") when x""",DEC2HEX(Table!D73,2),"""",",")</f>
        <v xml:space="preserve">     reg_q(70) when x"46",</v>
      </c>
    </row>
    <row r="180" spans="1:1" x14ac:dyDescent="0.25">
      <c r="A180" t="str">
        <f>CONCATENATE("     reg_q(",Table!D74,") when x""",DEC2HEX(Table!D74,2),"""",",")</f>
        <v xml:space="preserve">     reg_q(71) when x"47",</v>
      </c>
    </row>
    <row r="181" spans="1:1" x14ac:dyDescent="0.25">
      <c r="A181" t="str">
        <f>CONCATENATE("     reg_q(",Table!D75,") when x""",DEC2HEX(Table!D75,2),"""",",")</f>
        <v xml:space="preserve">     reg_q(72) when x"48",</v>
      </c>
    </row>
    <row r="182" spans="1:1" x14ac:dyDescent="0.25">
      <c r="A182" t="str">
        <f>CONCATENATE("     reg_q(",Table!D76,") when x""",DEC2HEX(Table!D76,2),"""",",")</f>
        <v xml:space="preserve">     reg_q(73) when x"49",</v>
      </c>
    </row>
    <row r="183" spans="1:1" x14ac:dyDescent="0.25">
      <c r="A183" t="str">
        <f>CONCATENATE("     reg_q(",Table!D77,") when x""",DEC2HEX(Table!D77,2),"""",",")</f>
        <v xml:space="preserve">     reg_q(74) when x"4A",</v>
      </c>
    </row>
    <row r="184" spans="1:1" x14ac:dyDescent="0.25">
      <c r="A184" t="str">
        <f>CONCATENATE("     reg_q(",Table!D78,") when x""",DEC2HEX(Table!D78,2),"""",",")</f>
        <v xml:space="preserve">     reg_q(75) when x"4B",</v>
      </c>
    </row>
    <row r="185" spans="1:1" x14ac:dyDescent="0.25">
      <c r="A185" t="str">
        <f>CONCATENATE("     reg_q(",Table!D79,") when x""",DEC2HEX(Table!D79,2),"""",",")</f>
        <v xml:space="preserve">     reg_q(76) when x"4C",</v>
      </c>
    </row>
    <row r="186" spans="1:1" x14ac:dyDescent="0.25">
      <c r="A186" t="str">
        <f>CONCATENATE("     reg_q(",Table!D80,") when x""",DEC2HEX(Table!D80,2),"""",",")</f>
        <v xml:space="preserve">     reg_q(77) when x"4D",</v>
      </c>
    </row>
    <row r="187" spans="1:1" x14ac:dyDescent="0.25">
      <c r="A187" t="str">
        <f>CONCATENATE("     reg_q(",Table!D81,") when x""",DEC2HEX(Table!D81,2),"""",",")</f>
        <v xml:space="preserve">     reg_q(78) when x"4E",</v>
      </c>
    </row>
    <row r="188" spans="1:1" x14ac:dyDescent="0.25">
      <c r="A188" t="str">
        <f>CONCATENATE("     reg_q(",Table!D82,") when x""",DEC2HEX(Table!D82,2),"""",",")</f>
        <v xml:space="preserve">     reg_q(79) when x"4F",</v>
      </c>
    </row>
    <row r="189" spans="1:1" x14ac:dyDescent="0.25">
      <c r="A189" t="str">
        <f>CONCATENATE("     reg_q(",Table!D83,") when x""",DEC2HEX(Table!D83,2),"""",",")</f>
        <v xml:space="preserve">     reg_q(80) when x"50",</v>
      </c>
    </row>
    <row r="190" spans="1:1" x14ac:dyDescent="0.25">
      <c r="A190" t="str">
        <f>CONCATENATE("     reg_q(",Table!D84,") when x""",DEC2HEX(Table!D84,2),"""",",")</f>
        <v xml:space="preserve">     reg_q(81) when x"51",</v>
      </c>
    </row>
    <row r="191" spans="1:1" x14ac:dyDescent="0.25">
      <c r="A191" t="str">
        <f>CONCATENATE("     reg_q(",Table!D85,") when x""",DEC2HEX(Table!D85,2),"""",",")</f>
        <v xml:space="preserve">     reg_q(82) when x"52",</v>
      </c>
    </row>
    <row r="192" spans="1:1" x14ac:dyDescent="0.25">
      <c r="A192" t="str">
        <f>CONCATENATE("     reg_q(",Table!D86,") when x""",DEC2HEX(Table!D86,2),"""",",")</f>
        <v xml:space="preserve">     reg_q(83) when x"53",</v>
      </c>
    </row>
    <row r="193" spans="1:1" x14ac:dyDescent="0.25">
      <c r="A193" t="str">
        <f>CONCATENATE("     reg_q(",Table!D87,") when x""",DEC2HEX(Table!D87,2),"""",",")</f>
        <v xml:space="preserve">     reg_q(84) when x"54",</v>
      </c>
    </row>
    <row r="194" spans="1:1" x14ac:dyDescent="0.25">
      <c r="A194" t="str">
        <f>CONCATENATE("     reg_q(",Table!D88,") when x""",DEC2HEX(Table!D88,2),"""",",")</f>
        <v xml:space="preserve">     reg_q(85) when x"55",</v>
      </c>
    </row>
    <row r="195" spans="1:1" x14ac:dyDescent="0.25">
      <c r="A195" t="str">
        <f>CONCATENATE("     reg_q(",Table!D89,") when x""",DEC2HEX(Table!D89,2),"""",",")</f>
        <v xml:space="preserve">     reg_q(86) when x"56",</v>
      </c>
    </row>
    <row r="196" spans="1:1" x14ac:dyDescent="0.25">
      <c r="A196" t="str">
        <f>CONCATENATE("     reg_q(",Table!D90,") when x""",DEC2HEX(Table!D90,2),"""",",")</f>
        <v xml:space="preserve">     reg_q(87) when x"57",</v>
      </c>
    </row>
    <row r="197" spans="1:1" x14ac:dyDescent="0.25">
      <c r="A197" t="str">
        <f>CONCATENATE("     reg_q(",Table!D91,") when x""",DEC2HEX(Table!D91,2),"""",",")</f>
        <v xml:space="preserve">     reg_q(88) when x"58",</v>
      </c>
    </row>
    <row r="198" spans="1:1" x14ac:dyDescent="0.25">
      <c r="A198" t="str">
        <f>CONCATENATE("     reg_q(",Table!D92,") when x""",DEC2HEX(Table!D92,2),"""",",")</f>
        <v xml:space="preserve">     reg_q(89) when x"59",</v>
      </c>
    </row>
    <row r="199" spans="1:1" x14ac:dyDescent="0.25">
      <c r="A199" t="str">
        <f>CONCATENATE("     reg_q(",Table!D93,") when x""",DEC2HEX(Table!D93,2),"""",",")</f>
        <v xml:space="preserve">     reg_q(90) when x"5A",</v>
      </c>
    </row>
    <row r="200" spans="1:1" x14ac:dyDescent="0.25">
      <c r="A200" t="str">
        <f>CONCATENATE("     reg_q(",Table!D94,") when x""",DEC2HEX(Table!D94,2),"""",",")</f>
        <v xml:space="preserve">     reg_q(91) when x"5B",</v>
      </c>
    </row>
    <row r="201" spans="1:1" x14ac:dyDescent="0.25">
      <c r="A201" t="str">
        <f>CONCATENATE("     reg_q(",Table!D95,") when x""",DEC2HEX(Table!D95,2),"""",",")</f>
        <v xml:space="preserve">     reg_q(92) when x"5C",</v>
      </c>
    </row>
    <row r="202" spans="1:1" x14ac:dyDescent="0.25">
      <c r="A202" t="str">
        <f>CONCATENATE("     reg_q(",Table!D96,") when x""",DEC2HEX(Table!D96,2),"""",",")</f>
        <v xml:space="preserve">     reg_q(93) when x"5D",</v>
      </c>
    </row>
    <row r="203" spans="1:1" x14ac:dyDescent="0.25">
      <c r="A203" t="str">
        <f>CONCATENATE("     reg_q(",Table!D97,") when x""",DEC2HEX(Table!D97,2),"""",",")</f>
        <v xml:space="preserve">     reg_q(94) when x"5E",</v>
      </c>
    </row>
    <row r="204" spans="1:1" x14ac:dyDescent="0.25">
      <c r="A204" t="str">
        <f>CONCATENATE("     reg_q(",Table!D98,") when x""",DEC2HEX(Table!D98,2),"""",",")</f>
        <v xml:space="preserve">     reg_q(95) when x"5F",</v>
      </c>
    </row>
    <row r="205" spans="1:1" x14ac:dyDescent="0.25">
      <c r="A205" t="str">
        <f>CONCATENATE("     reg_q(",Table!D99,") when x""",DEC2HEX(Table!D99,2),"""",",")</f>
        <v xml:space="preserve">     reg_q(96) when x"60",</v>
      </c>
    </row>
    <row r="206" spans="1:1" x14ac:dyDescent="0.25">
      <c r="A206" t="str">
        <f>CONCATENATE("     reg_q(",Table!D100,") when x""",DEC2HEX(Table!D100,2),"""",",")</f>
        <v xml:space="preserve">     reg_q(97) when x"61",</v>
      </c>
    </row>
    <row r="207" spans="1:1" x14ac:dyDescent="0.25">
      <c r="A207" t="str">
        <f>CONCATENATE("     reg_q(",Table!D101,") when x""",DEC2HEX(Table!D101,2),"""",",")</f>
        <v xml:space="preserve">     reg_q(98) when x"62",</v>
      </c>
    </row>
    <row r="208" spans="1:1" x14ac:dyDescent="0.25">
      <c r="A208" t="str">
        <f>CONCATENATE("     reg_q(",Table!D102,") when x""",DEC2HEX(Table!D102,2),"""",",")</f>
        <v xml:space="preserve">     reg_q(99) when x"63",</v>
      </c>
    </row>
    <row r="209" spans="1:1" x14ac:dyDescent="0.25">
      <c r="A209" t="str">
        <f>CONCATENATE("     reg_q(",Table!D103,") when x""",DEC2HEX(Table!D103,2),"""",",")</f>
        <v xml:space="preserve">     reg_q(100) when x"64",</v>
      </c>
    </row>
    <row r="210" spans="1:1" x14ac:dyDescent="0.25">
      <c r="A210" t="str">
        <f>CONCATENATE("     reg_q(",Table!D104,") when x""",DEC2HEX(Table!D104,2),"""",",")</f>
        <v xml:space="preserve">     reg_q(101) when x"65",</v>
      </c>
    </row>
    <row r="211" spans="1:1" x14ac:dyDescent="0.25">
      <c r="A211" t="str">
        <f>CONCATENATE("     reg_q(",Table!D105,") when x""",DEC2HEX(Table!D105,2),"""",",")</f>
        <v xml:space="preserve">     reg_q(102) when x"66",</v>
      </c>
    </row>
    <row r="212" spans="1:1" x14ac:dyDescent="0.25">
      <c r="A212" t="str">
        <f>CONCATENATE("     reg_q(",Table!D106,") when x""",DEC2HEX(Table!D106,2),"""",",")</f>
        <v xml:space="preserve">     reg_q(103) when x"67",</v>
      </c>
    </row>
    <row r="213" spans="1:1" x14ac:dyDescent="0.25">
      <c r="A213" t="str">
        <f>CONCATENATE("     reg_q(",Table!D107,") when x""",DEC2HEX(Table!D107,2),"""",",")</f>
        <v xml:space="preserve">     reg_q(104) when x"68",</v>
      </c>
    </row>
    <row r="214" spans="1:1" x14ac:dyDescent="0.25">
      <c r="A214" t="str">
        <f>CONCATENATE("     reg_q(",Table!D108,") when x""",DEC2HEX(Table!D108,2),"""",",")</f>
        <v xml:space="preserve">     reg_q(105) when x"69",</v>
      </c>
    </row>
    <row r="215" spans="1:1" x14ac:dyDescent="0.25">
      <c r="A215" s="25"/>
    </row>
    <row r="216" spans="1:1" x14ac:dyDescent="0.25">
      <c r="A216" s="25" t="s">
        <v>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7"/>
  <sheetViews>
    <sheetView zoomScale="85" zoomScaleNormal="85" workbookViewId="0">
      <selection activeCell="C1" sqref="C1"/>
    </sheetView>
  </sheetViews>
  <sheetFormatPr defaultColWidth="11.5703125" defaultRowHeight="12.75" x14ac:dyDescent="0.2"/>
  <cols>
    <col min="1" max="2" width="11.5703125" style="10"/>
    <col min="3" max="3" width="14.85546875" style="14" customWidth="1"/>
    <col min="4" max="4" width="54.140625" style="11" customWidth="1"/>
    <col min="5" max="5" width="38.42578125" style="11" customWidth="1"/>
    <col min="6" max="6" width="68.85546875" style="11" customWidth="1"/>
    <col min="7" max="7" width="56.42578125" style="10" customWidth="1"/>
    <col min="8" max="258" width="11.5703125" style="10"/>
    <col min="259" max="259" width="46.140625" style="10" customWidth="1"/>
    <col min="260" max="260" width="11.5703125" style="10"/>
    <col min="261" max="261" width="38.42578125" style="10" customWidth="1"/>
    <col min="262" max="262" width="68.85546875" style="10" customWidth="1"/>
    <col min="263" max="514" width="11.5703125" style="10"/>
    <col min="515" max="515" width="46.140625" style="10" customWidth="1"/>
    <col min="516" max="516" width="11.5703125" style="10"/>
    <col min="517" max="517" width="38.42578125" style="10" customWidth="1"/>
    <col min="518" max="518" width="68.85546875" style="10" customWidth="1"/>
    <col min="519" max="770" width="11.5703125" style="10"/>
    <col min="771" max="771" width="46.140625" style="10" customWidth="1"/>
    <col min="772" max="772" width="11.5703125" style="10"/>
    <col min="773" max="773" width="38.42578125" style="10" customWidth="1"/>
    <col min="774" max="774" width="68.85546875" style="10" customWidth="1"/>
    <col min="775" max="1026" width="11.5703125" style="10"/>
    <col min="1027" max="1027" width="46.140625" style="10" customWidth="1"/>
    <col min="1028" max="1028" width="11.5703125" style="10"/>
    <col min="1029" max="1029" width="38.42578125" style="10" customWidth="1"/>
    <col min="1030" max="1030" width="68.85546875" style="10" customWidth="1"/>
    <col min="1031" max="1282" width="11.5703125" style="10"/>
    <col min="1283" max="1283" width="46.140625" style="10" customWidth="1"/>
    <col min="1284" max="1284" width="11.5703125" style="10"/>
    <col min="1285" max="1285" width="38.42578125" style="10" customWidth="1"/>
    <col min="1286" max="1286" width="68.85546875" style="10" customWidth="1"/>
    <col min="1287" max="1538" width="11.5703125" style="10"/>
    <col min="1539" max="1539" width="46.140625" style="10" customWidth="1"/>
    <col min="1540" max="1540" width="11.5703125" style="10"/>
    <col min="1541" max="1541" width="38.42578125" style="10" customWidth="1"/>
    <col min="1542" max="1542" width="68.85546875" style="10" customWidth="1"/>
    <col min="1543" max="1794" width="11.5703125" style="10"/>
    <col min="1795" max="1795" width="46.140625" style="10" customWidth="1"/>
    <col min="1796" max="1796" width="11.5703125" style="10"/>
    <col min="1797" max="1797" width="38.42578125" style="10" customWidth="1"/>
    <col min="1798" max="1798" width="68.85546875" style="10" customWidth="1"/>
    <col min="1799" max="2050" width="11.5703125" style="10"/>
    <col min="2051" max="2051" width="46.140625" style="10" customWidth="1"/>
    <col min="2052" max="2052" width="11.5703125" style="10"/>
    <col min="2053" max="2053" width="38.42578125" style="10" customWidth="1"/>
    <col min="2054" max="2054" width="68.85546875" style="10" customWidth="1"/>
    <col min="2055" max="2306" width="11.5703125" style="10"/>
    <col min="2307" max="2307" width="46.140625" style="10" customWidth="1"/>
    <col min="2308" max="2308" width="11.5703125" style="10"/>
    <col min="2309" max="2309" width="38.42578125" style="10" customWidth="1"/>
    <col min="2310" max="2310" width="68.85546875" style="10" customWidth="1"/>
    <col min="2311" max="2562" width="11.5703125" style="10"/>
    <col min="2563" max="2563" width="46.140625" style="10" customWidth="1"/>
    <col min="2564" max="2564" width="11.5703125" style="10"/>
    <col min="2565" max="2565" width="38.42578125" style="10" customWidth="1"/>
    <col min="2566" max="2566" width="68.85546875" style="10" customWidth="1"/>
    <col min="2567" max="2818" width="11.5703125" style="10"/>
    <col min="2819" max="2819" width="46.140625" style="10" customWidth="1"/>
    <col min="2820" max="2820" width="11.5703125" style="10"/>
    <col min="2821" max="2821" width="38.42578125" style="10" customWidth="1"/>
    <col min="2822" max="2822" width="68.85546875" style="10" customWidth="1"/>
    <col min="2823" max="3074" width="11.5703125" style="10"/>
    <col min="3075" max="3075" width="46.140625" style="10" customWidth="1"/>
    <col min="3076" max="3076" width="11.5703125" style="10"/>
    <col min="3077" max="3077" width="38.42578125" style="10" customWidth="1"/>
    <col min="3078" max="3078" width="68.85546875" style="10" customWidth="1"/>
    <col min="3079" max="3330" width="11.5703125" style="10"/>
    <col min="3331" max="3331" width="46.140625" style="10" customWidth="1"/>
    <col min="3332" max="3332" width="11.5703125" style="10"/>
    <col min="3333" max="3333" width="38.42578125" style="10" customWidth="1"/>
    <col min="3334" max="3334" width="68.85546875" style="10" customWidth="1"/>
    <col min="3335" max="3586" width="11.5703125" style="10"/>
    <col min="3587" max="3587" width="46.140625" style="10" customWidth="1"/>
    <col min="3588" max="3588" width="11.5703125" style="10"/>
    <col min="3589" max="3589" width="38.42578125" style="10" customWidth="1"/>
    <col min="3590" max="3590" width="68.85546875" style="10" customWidth="1"/>
    <col min="3591" max="3842" width="11.5703125" style="10"/>
    <col min="3843" max="3843" width="46.140625" style="10" customWidth="1"/>
    <col min="3844" max="3844" width="11.5703125" style="10"/>
    <col min="3845" max="3845" width="38.42578125" style="10" customWidth="1"/>
    <col min="3846" max="3846" width="68.85546875" style="10" customWidth="1"/>
    <col min="3847" max="4098" width="11.5703125" style="10"/>
    <col min="4099" max="4099" width="46.140625" style="10" customWidth="1"/>
    <col min="4100" max="4100" width="11.5703125" style="10"/>
    <col min="4101" max="4101" width="38.42578125" style="10" customWidth="1"/>
    <col min="4102" max="4102" width="68.85546875" style="10" customWidth="1"/>
    <col min="4103" max="4354" width="11.5703125" style="10"/>
    <col min="4355" max="4355" width="46.140625" style="10" customWidth="1"/>
    <col min="4356" max="4356" width="11.5703125" style="10"/>
    <col min="4357" max="4357" width="38.42578125" style="10" customWidth="1"/>
    <col min="4358" max="4358" width="68.85546875" style="10" customWidth="1"/>
    <col min="4359" max="4610" width="11.5703125" style="10"/>
    <col min="4611" max="4611" width="46.140625" style="10" customWidth="1"/>
    <col min="4612" max="4612" width="11.5703125" style="10"/>
    <col min="4613" max="4613" width="38.42578125" style="10" customWidth="1"/>
    <col min="4614" max="4614" width="68.85546875" style="10" customWidth="1"/>
    <col min="4615" max="4866" width="11.5703125" style="10"/>
    <col min="4867" max="4867" width="46.140625" style="10" customWidth="1"/>
    <col min="4868" max="4868" width="11.5703125" style="10"/>
    <col min="4869" max="4869" width="38.42578125" style="10" customWidth="1"/>
    <col min="4870" max="4870" width="68.85546875" style="10" customWidth="1"/>
    <col min="4871" max="5122" width="11.5703125" style="10"/>
    <col min="5123" max="5123" width="46.140625" style="10" customWidth="1"/>
    <col min="5124" max="5124" width="11.5703125" style="10"/>
    <col min="5125" max="5125" width="38.42578125" style="10" customWidth="1"/>
    <col min="5126" max="5126" width="68.85546875" style="10" customWidth="1"/>
    <col min="5127" max="5378" width="11.5703125" style="10"/>
    <col min="5379" max="5379" width="46.140625" style="10" customWidth="1"/>
    <col min="5380" max="5380" width="11.5703125" style="10"/>
    <col min="5381" max="5381" width="38.42578125" style="10" customWidth="1"/>
    <col min="5382" max="5382" width="68.85546875" style="10" customWidth="1"/>
    <col min="5383" max="5634" width="11.5703125" style="10"/>
    <col min="5635" max="5635" width="46.140625" style="10" customWidth="1"/>
    <col min="5636" max="5636" width="11.5703125" style="10"/>
    <col min="5637" max="5637" width="38.42578125" style="10" customWidth="1"/>
    <col min="5638" max="5638" width="68.85546875" style="10" customWidth="1"/>
    <col min="5639" max="5890" width="11.5703125" style="10"/>
    <col min="5891" max="5891" width="46.140625" style="10" customWidth="1"/>
    <col min="5892" max="5892" width="11.5703125" style="10"/>
    <col min="5893" max="5893" width="38.42578125" style="10" customWidth="1"/>
    <col min="5894" max="5894" width="68.85546875" style="10" customWidth="1"/>
    <col min="5895" max="6146" width="11.5703125" style="10"/>
    <col min="6147" max="6147" width="46.140625" style="10" customWidth="1"/>
    <col min="6148" max="6148" width="11.5703125" style="10"/>
    <col min="6149" max="6149" width="38.42578125" style="10" customWidth="1"/>
    <col min="6150" max="6150" width="68.85546875" style="10" customWidth="1"/>
    <col min="6151" max="6402" width="11.5703125" style="10"/>
    <col min="6403" max="6403" width="46.140625" style="10" customWidth="1"/>
    <col min="6404" max="6404" width="11.5703125" style="10"/>
    <col min="6405" max="6405" width="38.42578125" style="10" customWidth="1"/>
    <col min="6406" max="6406" width="68.85546875" style="10" customWidth="1"/>
    <col min="6407" max="6658" width="11.5703125" style="10"/>
    <col min="6659" max="6659" width="46.140625" style="10" customWidth="1"/>
    <col min="6660" max="6660" width="11.5703125" style="10"/>
    <col min="6661" max="6661" width="38.42578125" style="10" customWidth="1"/>
    <col min="6662" max="6662" width="68.85546875" style="10" customWidth="1"/>
    <col min="6663" max="6914" width="11.5703125" style="10"/>
    <col min="6915" max="6915" width="46.140625" style="10" customWidth="1"/>
    <col min="6916" max="6916" width="11.5703125" style="10"/>
    <col min="6917" max="6917" width="38.42578125" style="10" customWidth="1"/>
    <col min="6918" max="6918" width="68.85546875" style="10" customWidth="1"/>
    <col min="6919" max="7170" width="11.5703125" style="10"/>
    <col min="7171" max="7171" width="46.140625" style="10" customWidth="1"/>
    <col min="7172" max="7172" width="11.5703125" style="10"/>
    <col min="7173" max="7173" width="38.42578125" style="10" customWidth="1"/>
    <col min="7174" max="7174" width="68.85546875" style="10" customWidth="1"/>
    <col min="7175" max="7426" width="11.5703125" style="10"/>
    <col min="7427" max="7427" width="46.140625" style="10" customWidth="1"/>
    <col min="7428" max="7428" width="11.5703125" style="10"/>
    <col min="7429" max="7429" width="38.42578125" style="10" customWidth="1"/>
    <col min="7430" max="7430" width="68.85546875" style="10" customWidth="1"/>
    <col min="7431" max="7682" width="11.5703125" style="10"/>
    <col min="7683" max="7683" width="46.140625" style="10" customWidth="1"/>
    <col min="7684" max="7684" width="11.5703125" style="10"/>
    <col min="7685" max="7685" width="38.42578125" style="10" customWidth="1"/>
    <col min="7686" max="7686" width="68.85546875" style="10" customWidth="1"/>
    <col min="7687" max="7938" width="11.5703125" style="10"/>
    <col min="7939" max="7939" width="46.140625" style="10" customWidth="1"/>
    <col min="7940" max="7940" width="11.5703125" style="10"/>
    <col min="7941" max="7941" width="38.42578125" style="10" customWidth="1"/>
    <col min="7942" max="7942" width="68.85546875" style="10" customWidth="1"/>
    <col min="7943" max="8194" width="11.5703125" style="10"/>
    <col min="8195" max="8195" width="46.140625" style="10" customWidth="1"/>
    <col min="8196" max="8196" width="11.5703125" style="10"/>
    <col min="8197" max="8197" width="38.42578125" style="10" customWidth="1"/>
    <col min="8198" max="8198" width="68.85546875" style="10" customWidth="1"/>
    <col min="8199" max="8450" width="11.5703125" style="10"/>
    <col min="8451" max="8451" width="46.140625" style="10" customWidth="1"/>
    <col min="8452" max="8452" width="11.5703125" style="10"/>
    <col min="8453" max="8453" width="38.42578125" style="10" customWidth="1"/>
    <col min="8454" max="8454" width="68.85546875" style="10" customWidth="1"/>
    <col min="8455" max="8706" width="11.5703125" style="10"/>
    <col min="8707" max="8707" width="46.140625" style="10" customWidth="1"/>
    <col min="8708" max="8708" width="11.5703125" style="10"/>
    <col min="8709" max="8709" width="38.42578125" style="10" customWidth="1"/>
    <col min="8710" max="8710" width="68.85546875" style="10" customWidth="1"/>
    <col min="8711" max="8962" width="11.5703125" style="10"/>
    <col min="8963" max="8963" width="46.140625" style="10" customWidth="1"/>
    <col min="8964" max="8964" width="11.5703125" style="10"/>
    <col min="8965" max="8965" width="38.42578125" style="10" customWidth="1"/>
    <col min="8966" max="8966" width="68.85546875" style="10" customWidth="1"/>
    <col min="8967" max="9218" width="11.5703125" style="10"/>
    <col min="9219" max="9219" width="46.140625" style="10" customWidth="1"/>
    <col min="9220" max="9220" width="11.5703125" style="10"/>
    <col min="9221" max="9221" width="38.42578125" style="10" customWidth="1"/>
    <col min="9222" max="9222" width="68.85546875" style="10" customWidth="1"/>
    <col min="9223" max="9474" width="11.5703125" style="10"/>
    <col min="9475" max="9475" width="46.140625" style="10" customWidth="1"/>
    <col min="9476" max="9476" width="11.5703125" style="10"/>
    <col min="9477" max="9477" width="38.42578125" style="10" customWidth="1"/>
    <col min="9478" max="9478" width="68.85546875" style="10" customWidth="1"/>
    <col min="9479" max="9730" width="11.5703125" style="10"/>
    <col min="9731" max="9731" width="46.140625" style="10" customWidth="1"/>
    <col min="9732" max="9732" width="11.5703125" style="10"/>
    <col min="9733" max="9733" width="38.42578125" style="10" customWidth="1"/>
    <col min="9734" max="9734" width="68.85546875" style="10" customWidth="1"/>
    <col min="9735" max="9986" width="11.5703125" style="10"/>
    <col min="9987" max="9987" width="46.140625" style="10" customWidth="1"/>
    <col min="9988" max="9988" width="11.5703125" style="10"/>
    <col min="9989" max="9989" width="38.42578125" style="10" customWidth="1"/>
    <col min="9990" max="9990" width="68.85546875" style="10" customWidth="1"/>
    <col min="9991" max="10242" width="11.5703125" style="10"/>
    <col min="10243" max="10243" width="46.140625" style="10" customWidth="1"/>
    <col min="10244" max="10244" width="11.5703125" style="10"/>
    <col min="10245" max="10245" width="38.42578125" style="10" customWidth="1"/>
    <col min="10246" max="10246" width="68.85546875" style="10" customWidth="1"/>
    <col min="10247" max="10498" width="11.5703125" style="10"/>
    <col min="10499" max="10499" width="46.140625" style="10" customWidth="1"/>
    <col min="10500" max="10500" width="11.5703125" style="10"/>
    <col min="10501" max="10501" width="38.42578125" style="10" customWidth="1"/>
    <col min="10502" max="10502" width="68.85546875" style="10" customWidth="1"/>
    <col min="10503" max="10754" width="11.5703125" style="10"/>
    <col min="10755" max="10755" width="46.140625" style="10" customWidth="1"/>
    <col min="10756" max="10756" width="11.5703125" style="10"/>
    <col min="10757" max="10757" width="38.42578125" style="10" customWidth="1"/>
    <col min="10758" max="10758" width="68.85546875" style="10" customWidth="1"/>
    <col min="10759" max="11010" width="11.5703125" style="10"/>
    <col min="11011" max="11011" width="46.140625" style="10" customWidth="1"/>
    <col min="11012" max="11012" width="11.5703125" style="10"/>
    <col min="11013" max="11013" width="38.42578125" style="10" customWidth="1"/>
    <col min="11014" max="11014" width="68.85546875" style="10" customWidth="1"/>
    <col min="11015" max="11266" width="11.5703125" style="10"/>
    <col min="11267" max="11267" width="46.140625" style="10" customWidth="1"/>
    <col min="11268" max="11268" width="11.5703125" style="10"/>
    <col min="11269" max="11269" width="38.42578125" style="10" customWidth="1"/>
    <col min="11270" max="11270" width="68.85546875" style="10" customWidth="1"/>
    <col min="11271" max="11522" width="11.5703125" style="10"/>
    <col min="11523" max="11523" width="46.140625" style="10" customWidth="1"/>
    <col min="11524" max="11524" width="11.5703125" style="10"/>
    <col min="11525" max="11525" width="38.42578125" style="10" customWidth="1"/>
    <col min="11526" max="11526" width="68.85546875" style="10" customWidth="1"/>
    <col min="11527" max="11778" width="11.5703125" style="10"/>
    <col min="11779" max="11779" width="46.140625" style="10" customWidth="1"/>
    <col min="11780" max="11780" width="11.5703125" style="10"/>
    <col min="11781" max="11781" width="38.42578125" style="10" customWidth="1"/>
    <col min="11782" max="11782" width="68.85546875" style="10" customWidth="1"/>
    <col min="11783" max="12034" width="11.5703125" style="10"/>
    <col min="12035" max="12035" width="46.140625" style="10" customWidth="1"/>
    <col min="12036" max="12036" width="11.5703125" style="10"/>
    <col min="12037" max="12037" width="38.42578125" style="10" customWidth="1"/>
    <col min="12038" max="12038" width="68.85546875" style="10" customWidth="1"/>
    <col min="12039" max="12290" width="11.5703125" style="10"/>
    <col min="12291" max="12291" width="46.140625" style="10" customWidth="1"/>
    <col min="12292" max="12292" width="11.5703125" style="10"/>
    <col min="12293" max="12293" width="38.42578125" style="10" customWidth="1"/>
    <col min="12294" max="12294" width="68.85546875" style="10" customWidth="1"/>
    <col min="12295" max="12546" width="11.5703125" style="10"/>
    <col min="12547" max="12547" width="46.140625" style="10" customWidth="1"/>
    <col min="12548" max="12548" width="11.5703125" style="10"/>
    <col min="12549" max="12549" width="38.42578125" style="10" customWidth="1"/>
    <col min="12550" max="12550" width="68.85546875" style="10" customWidth="1"/>
    <col min="12551" max="12802" width="11.5703125" style="10"/>
    <col min="12803" max="12803" width="46.140625" style="10" customWidth="1"/>
    <col min="12804" max="12804" width="11.5703125" style="10"/>
    <col min="12805" max="12805" width="38.42578125" style="10" customWidth="1"/>
    <col min="12806" max="12806" width="68.85546875" style="10" customWidth="1"/>
    <col min="12807" max="13058" width="11.5703125" style="10"/>
    <col min="13059" max="13059" width="46.140625" style="10" customWidth="1"/>
    <col min="13060" max="13060" width="11.5703125" style="10"/>
    <col min="13061" max="13061" width="38.42578125" style="10" customWidth="1"/>
    <col min="13062" max="13062" width="68.85546875" style="10" customWidth="1"/>
    <col min="13063" max="13314" width="11.5703125" style="10"/>
    <col min="13315" max="13315" width="46.140625" style="10" customWidth="1"/>
    <col min="13316" max="13316" width="11.5703125" style="10"/>
    <col min="13317" max="13317" width="38.42578125" style="10" customWidth="1"/>
    <col min="13318" max="13318" width="68.85546875" style="10" customWidth="1"/>
    <col min="13319" max="13570" width="11.5703125" style="10"/>
    <col min="13571" max="13571" width="46.140625" style="10" customWidth="1"/>
    <col min="13572" max="13572" width="11.5703125" style="10"/>
    <col min="13573" max="13573" width="38.42578125" style="10" customWidth="1"/>
    <col min="13574" max="13574" width="68.85546875" style="10" customWidth="1"/>
    <col min="13575" max="13826" width="11.5703125" style="10"/>
    <col min="13827" max="13827" width="46.140625" style="10" customWidth="1"/>
    <col min="13828" max="13828" width="11.5703125" style="10"/>
    <col min="13829" max="13829" width="38.42578125" style="10" customWidth="1"/>
    <col min="13830" max="13830" width="68.85546875" style="10" customWidth="1"/>
    <col min="13831" max="14082" width="11.5703125" style="10"/>
    <col min="14083" max="14083" width="46.140625" style="10" customWidth="1"/>
    <col min="14084" max="14084" width="11.5703125" style="10"/>
    <col min="14085" max="14085" width="38.42578125" style="10" customWidth="1"/>
    <col min="14086" max="14086" width="68.85546875" style="10" customWidth="1"/>
    <col min="14087" max="14338" width="11.5703125" style="10"/>
    <col min="14339" max="14339" width="46.140625" style="10" customWidth="1"/>
    <col min="14340" max="14340" width="11.5703125" style="10"/>
    <col min="14341" max="14341" width="38.42578125" style="10" customWidth="1"/>
    <col min="14342" max="14342" width="68.85546875" style="10" customWidth="1"/>
    <col min="14343" max="14594" width="11.5703125" style="10"/>
    <col min="14595" max="14595" width="46.140625" style="10" customWidth="1"/>
    <col min="14596" max="14596" width="11.5703125" style="10"/>
    <col min="14597" max="14597" width="38.42578125" style="10" customWidth="1"/>
    <col min="14598" max="14598" width="68.85546875" style="10" customWidth="1"/>
    <col min="14599" max="14850" width="11.5703125" style="10"/>
    <col min="14851" max="14851" width="46.140625" style="10" customWidth="1"/>
    <col min="14852" max="14852" width="11.5703125" style="10"/>
    <col min="14853" max="14853" width="38.42578125" style="10" customWidth="1"/>
    <col min="14854" max="14854" width="68.85546875" style="10" customWidth="1"/>
    <col min="14855" max="15106" width="11.5703125" style="10"/>
    <col min="15107" max="15107" width="46.140625" style="10" customWidth="1"/>
    <col min="15108" max="15108" width="11.5703125" style="10"/>
    <col min="15109" max="15109" width="38.42578125" style="10" customWidth="1"/>
    <col min="15110" max="15110" width="68.85546875" style="10" customWidth="1"/>
    <col min="15111" max="15362" width="11.5703125" style="10"/>
    <col min="15363" max="15363" width="46.140625" style="10" customWidth="1"/>
    <col min="15364" max="15364" width="11.5703125" style="10"/>
    <col min="15365" max="15365" width="38.42578125" style="10" customWidth="1"/>
    <col min="15366" max="15366" width="68.85546875" style="10" customWidth="1"/>
    <col min="15367" max="15618" width="11.5703125" style="10"/>
    <col min="15619" max="15619" width="46.140625" style="10" customWidth="1"/>
    <col min="15620" max="15620" width="11.5703125" style="10"/>
    <col min="15621" max="15621" width="38.42578125" style="10" customWidth="1"/>
    <col min="15622" max="15622" width="68.85546875" style="10" customWidth="1"/>
    <col min="15623" max="15874" width="11.5703125" style="10"/>
    <col min="15875" max="15875" width="46.140625" style="10" customWidth="1"/>
    <col min="15876" max="15876" width="11.5703125" style="10"/>
    <col min="15877" max="15877" width="38.42578125" style="10" customWidth="1"/>
    <col min="15878" max="15878" width="68.85546875" style="10" customWidth="1"/>
    <col min="15879" max="16130" width="11.5703125" style="10"/>
    <col min="16131" max="16131" width="46.140625" style="10" customWidth="1"/>
    <col min="16132" max="16132" width="11.5703125" style="10"/>
    <col min="16133" max="16133" width="38.42578125" style="10" customWidth="1"/>
    <col min="16134" max="16134" width="68.85546875" style="10" customWidth="1"/>
    <col min="16135" max="16384" width="11.5703125" style="10"/>
  </cols>
  <sheetData>
    <row r="1" spans="1:7" s="9" customFormat="1" x14ac:dyDescent="0.2">
      <c r="A1" s="17" t="s">
        <v>230</v>
      </c>
      <c r="B1" s="17"/>
      <c r="C1" s="16" t="s">
        <v>53</v>
      </c>
      <c r="D1" s="18" t="s">
        <v>0</v>
      </c>
      <c r="E1" s="18" t="s">
        <v>54</v>
      </c>
      <c r="F1" s="22" t="s">
        <v>55</v>
      </c>
      <c r="G1" s="18" t="s">
        <v>56</v>
      </c>
    </row>
    <row r="2" spans="1:7" ht="15" x14ac:dyDescent="0.25">
      <c r="A2" s="19">
        <v>0</v>
      </c>
      <c r="B2" s="7" t="s">
        <v>231</v>
      </c>
      <c r="C2" s="4">
        <v>1</v>
      </c>
      <c r="D2" s="3" t="s">
        <v>39</v>
      </c>
      <c r="E2" s="3" t="s">
        <v>57</v>
      </c>
      <c r="F2" s="3" t="s">
        <v>58</v>
      </c>
      <c r="G2" s="3" t="s">
        <v>59</v>
      </c>
    </row>
    <row r="3" spans="1:7" ht="15" x14ac:dyDescent="0.25">
      <c r="A3" s="19">
        <v>1</v>
      </c>
      <c r="B3" s="7" t="s">
        <v>231</v>
      </c>
      <c r="C3" s="4">
        <v>2</v>
      </c>
      <c r="D3" s="3" t="s">
        <v>17</v>
      </c>
      <c r="E3" s="3" t="s">
        <v>57</v>
      </c>
      <c r="F3" s="3" t="s">
        <v>58</v>
      </c>
      <c r="G3" s="3" t="s">
        <v>59</v>
      </c>
    </row>
    <row r="4" spans="1:7" ht="15" x14ac:dyDescent="0.25">
      <c r="A4" s="19">
        <v>2</v>
      </c>
      <c r="B4" s="7" t="s">
        <v>231</v>
      </c>
      <c r="C4" s="4">
        <v>3</v>
      </c>
      <c r="D4" s="3" t="s">
        <v>19</v>
      </c>
      <c r="E4" s="3" t="s">
        <v>57</v>
      </c>
      <c r="F4" s="3" t="s">
        <v>58</v>
      </c>
      <c r="G4" s="3" t="s">
        <v>59</v>
      </c>
    </row>
    <row r="5" spans="1:7" ht="15" x14ac:dyDescent="0.25">
      <c r="A5" s="19">
        <v>3</v>
      </c>
      <c r="B5" s="7" t="s">
        <v>231</v>
      </c>
      <c r="C5" s="4">
        <v>4</v>
      </c>
      <c r="D5" s="3" t="s">
        <v>21</v>
      </c>
      <c r="E5" s="3" t="s">
        <v>57</v>
      </c>
      <c r="F5" s="3" t="s">
        <v>58</v>
      </c>
      <c r="G5" s="3" t="s">
        <v>59</v>
      </c>
    </row>
    <row r="6" spans="1:7" ht="15" x14ac:dyDescent="0.25">
      <c r="A6" s="19">
        <v>4</v>
      </c>
      <c r="B6" s="7" t="s">
        <v>231</v>
      </c>
      <c r="C6" s="4">
        <v>5</v>
      </c>
      <c r="D6" s="3" t="s">
        <v>23</v>
      </c>
      <c r="E6" s="3" t="s">
        <v>57</v>
      </c>
      <c r="F6" s="3" t="s">
        <v>58</v>
      </c>
      <c r="G6" s="3" t="s">
        <v>59</v>
      </c>
    </row>
    <row r="7" spans="1:7" ht="15" x14ac:dyDescent="0.25">
      <c r="A7" s="19">
        <v>5</v>
      </c>
      <c r="B7" s="7" t="s">
        <v>231</v>
      </c>
      <c r="C7" s="4">
        <v>6</v>
      </c>
      <c r="D7" s="3" t="s">
        <v>25</v>
      </c>
      <c r="E7" s="3" t="s">
        <v>57</v>
      </c>
      <c r="F7" s="3" t="s">
        <v>58</v>
      </c>
      <c r="G7" s="3" t="s">
        <v>59</v>
      </c>
    </row>
    <row r="8" spans="1:7" ht="15" x14ac:dyDescent="0.25">
      <c r="A8" s="19">
        <v>6</v>
      </c>
      <c r="B8" s="7" t="s">
        <v>231</v>
      </c>
      <c r="C8" s="4">
        <v>7</v>
      </c>
      <c r="D8" s="3" t="s">
        <v>27</v>
      </c>
      <c r="E8" s="3" t="s">
        <v>57</v>
      </c>
      <c r="F8" s="3" t="s">
        <v>58</v>
      </c>
      <c r="G8" s="3" t="s">
        <v>59</v>
      </c>
    </row>
    <row r="9" spans="1:7" ht="15" x14ac:dyDescent="0.25">
      <c r="A9" s="19">
        <v>7</v>
      </c>
      <c r="B9" s="7" t="s">
        <v>231</v>
      </c>
      <c r="C9" s="4">
        <v>8</v>
      </c>
      <c r="D9" s="3" t="s">
        <v>29</v>
      </c>
      <c r="E9" s="3" t="s">
        <v>57</v>
      </c>
      <c r="F9" s="3" t="s">
        <v>58</v>
      </c>
      <c r="G9" s="3" t="s">
        <v>59</v>
      </c>
    </row>
    <row r="10" spans="1:7" ht="15" x14ac:dyDescent="0.25">
      <c r="A10" s="19">
        <v>8</v>
      </c>
      <c r="B10" s="7" t="s">
        <v>231</v>
      </c>
      <c r="C10" s="4" t="s">
        <v>132</v>
      </c>
      <c r="D10" s="3" t="s">
        <v>232</v>
      </c>
      <c r="E10" s="3" t="s">
        <v>57</v>
      </c>
      <c r="F10" s="3" t="s">
        <v>58</v>
      </c>
      <c r="G10" s="3" t="s">
        <v>59</v>
      </c>
    </row>
    <row r="11" spans="1:7" ht="15" x14ac:dyDescent="0.25">
      <c r="A11" s="19">
        <v>9</v>
      </c>
      <c r="B11" s="7" t="s">
        <v>231</v>
      </c>
      <c r="C11" s="4" t="s">
        <v>134</v>
      </c>
      <c r="D11" s="3" t="s">
        <v>233</v>
      </c>
      <c r="E11" s="3" t="s">
        <v>57</v>
      </c>
      <c r="F11" s="3" t="s">
        <v>58</v>
      </c>
      <c r="G11" s="3" t="s">
        <v>59</v>
      </c>
    </row>
    <row r="12" spans="1:7" ht="15" x14ac:dyDescent="0.25">
      <c r="A12" s="19">
        <v>10</v>
      </c>
      <c r="B12" s="7" t="s">
        <v>231</v>
      </c>
      <c r="C12" s="4" t="s">
        <v>133</v>
      </c>
      <c r="D12" s="3" t="s">
        <v>234</v>
      </c>
      <c r="E12" s="3" t="s">
        <v>57</v>
      </c>
      <c r="F12" s="3" t="s">
        <v>58</v>
      </c>
      <c r="G12" s="3" t="s">
        <v>59</v>
      </c>
    </row>
    <row r="13" spans="1:7" ht="15" x14ac:dyDescent="0.25">
      <c r="A13" s="19">
        <v>11</v>
      </c>
      <c r="B13" s="7" t="s">
        <v>231</v>
      </c>
      <c r="C13" s="4" t="s">
        <v>139</v>
      </c>
      <c r="D13" s="3" t="s">
        <v>16</v>
      </c>
      <c r="E13" s="3" t="s">
        <v>57</v>
      </c>
      <c r="F13" s="3" t="s">
        <v>58</v>
      </c>
      <c r="G13" s="3" t="s">
        <v>59</v>
      </c>
    </row>
    <row r="14" spans="1:7" ht="15" x14ac:dyDescent="0.25">
      <c r="A14" s="19">
        <v>12</v>
      </c>
      <c r="B14" s="7" t="s">
        <v>231</v>
      </c>
      <c r="C14" s="4" t="s">
        <v>140</v>
      </c>
      <c r="D14" s="3" t="s">
        <v>18</v>
      </c>
      <c r="E14" s="3" t="s">
        <v>57</v>
      </c>
      <c r="F14" s="3" t="s">
        <v>58</v>
      </c>
      <c r="G14" s="3" t="s">
        <v>59</v>
      </c>
    </row>
    <row r="15" spans="1:7" ht="15" x14ac:dyDescent="0.25">
      <c r="A15" s="19">
        <v>13</v>
      </c>
      <c r="B15" s="7" t="s">
        <v>231</v>
      </c>
      <c r="C15" s="4" t="s">
        <v>141</v>
      </c>
      <c r="D15" s="3" t="s">
        <v>20</v>
      </c>
      <c r="E15" s="3" t="s">
        <v>57</v>
      </c>
      <c r="F15" s="3" t="s">
        <v>58</v>
      </c>
      <c r="G15" s="3" t="s">
        <v>59</v>
      </c>
    </row>
    <row r="16" spans="1:7" ht="15" x14ac:dyDescent="0.25">
      <c r="A16" s="19">
        <v>14</v>
      </c>
      <c r="B16" s="7" t="s">
        <v>231</v>
      </c>
      <c r="C16" s="4" t="s">
        <v>142</v>
      </c>
      <c r="D16" s="3" t="s">
        <v>22</v>
      </c>
      <c r="E16" s="3" t="s">
        <v>57</v>
      </c>
      <c r="F16" s="3" t="s">
        <v>58</v>
      </c>
      <c r="G16" s="3" t="s">
        <v>59</v>
      </c>
    </row>
    <row r="17" spans="1:7" ht="15" x14ac:dyDescent="0.25">
      <c r="A17" s="19">
        <v>15</v>
      </c>
      <c r="B17" s="7" t="s">
        <v>231</v>
      </c>
      <c r="C17" s="4" t="s">
        <v>143</v>
      </c>
      <c r="D17" s="3" t="s">
        <v>24</v>
      </c>
      <c r="E17" s="3" t="s">
        <v>57</v>
      </c>
      <c r="F17" s="3" t="s">
        <v>58</v>
      </c>
      <c r="G17" s="3" t="s">
        <v>59</v>
      </c>
    </row>
    <row r="18" spans="1:7" ht="15" x14ac:dyDescent="0.25">
      <c r="A18" s="19">
        <v>16</v>
      </c>
      <c r="B18" s="7" t="s">
        <v>231</v>
      </c>
      <c r="C18" s="4" t="s">
        <v>144</v>
      </c>
      <c r="D18" s="3" t="s">
        <v>26</v>
      </c>
      <c r="E18" s="3" t="s">
        <v>57</v>
      </c>
      <c r="F18" s="3" t="s">
        <v>58</v>
      </c>
      <c r="G18" s="3" t="s">
        <v>59</v>
      </c>
    </row>
    <row r="19" spans="1:7" ht="15" x14ac:dyDescent="0.25">
      <c r="A19" s="19">
        <v>17</v>
      </c>
      <c r="B19" s="7" t="s">
        <v>231</v>
      </c>
      <c r="C19" s="4" t="s">
        <v>145</v>
      </c>
      <c r="D19" s="3" t="s">
        <v>28</v>
      </c>
      <c r="E19" s="3" t="s">
        <v>57</v>
      </c>
      <c r="F19" s="3" t="s">
        <v>58</v>
      </c>
      <c r="G19" s="3" t="s">
        <v>59</v>
      </c>
    </row>
    <row r="20" spans="1:7" ht="15" x14ac:dyDescent="0.25">
      <c r="A20" s="19">
        <v>18</v>
      </c>
      <c r="B20" s="7" t="s">
        <v>231</v>
      </c>
      <c r="C20" s="4" t="s">
        <v>146</v>
      </c>
      <c r="D20" s="3" t="s">
        <v>30</v>
      </c>
      <c r="E20" s="3" t="s">
        <v>57</v>
      </c>
      <c r="F20" s="3" t="s">
        <v>58</v>
      </c>
      <c r="G20" s="3" t="s">
        <v>59</v>
      </c>
    </row>
    <row r="21" spans="1:7" ht="15" x14ac:dyDescent="0.25">
      <c r="A21" s="19">
        <v>19</v>
      </c>
      <c r="B21" s="7" t="s">
        <v>231</v>
      </c>
      <c r="C21" s="4" t="s">
        <v>136</v>
      </c>
      <c r="D21" s="3" t="s">
        <v>235</v>
      </c>
      <c r="E21" s="3" t="s">
        <v>57</v>
      </c>
      <c r="F21" s="3" t="s">
        <v>58</v>
      </c>
      <c r="G21" s="3" t="s">
        <v>59</v>
      </c>
    </row>
    <row r="22" spans="1:7" ht="15" x14ac:dyDescent="0.25">
      <c r="A22" s="19">
        <v>20</v>
      </c>
      <c r="B22" s="7" t="s">
        <v>231</v>
      </c>
      <c r="C22" s="4" t="s">
        <v>137</v>
      </c>
      <c r="D22" s="3" t="s">
        <v>236</v>
      </c>
      <c r="E22" s="3" t="s">
        <v>57</v>
      </c>
      <c r="F22" s="3" t="s">
        <v>58</v>
      </c>
      <c r="G22" s="3" t="s">
        <v>59</v>
      </c>
    </row>
    <row r="23" spans="1:7" ht="15" x14ac:dyDescent="0.25">
      <c r="A23" s="19">
        <v>21</v>
      </c>
      <c r="B23" s="7" t="s">
        <v>231</v>
      </c>
      <c r="C23" s="4" t="s">
        <v>138</v>
      </c>
      <c r="D23" s="3" t="s">
        <v>237</v>
      </c>
      <c r="E23" s="3" t="s">
        <v>57</v>
      </c>
      <c r="F23" s="3" t="s">
        <v>58</v>
      </c>
      <c r="G23" s="3" t="s">
        <v>59</v>
      </c>
    </row>
    <row r="24" spans="1:7" ht="15" x14ac:dyDescent="0.25">
      <c r="A24" s="19">
        <v>22</v>
      </c>
      <c r="B24" s="7" t="s">
        <v>238</v>
      </c>
      <c r="C24" s="4" t="s">
        <v>132</v>
      </c>
      <c r="D24" s="3" t="s">
        <v>239</v>
      </c>
      <c r="E24" s="3" t="s">
        <v>57</v>
      </c>
      <c r="F24" s="3" t="s">
        <v>58</v>
      </c>
      <c r="G24" s="3" t="s">
        <v>59</v>
      </c>
    </row>
    <row r="25" spans="1:7" ht="15" x14ac:dyDescent="0.25">
      <c r="A25" s="19">
        <v>23</v>
      </c>
      <c r="B25" s="7" t="s">
        <v>238</v>
      </c>
      <c r="C25" s="4" t="s">
        <v>134</v>
      </c>
      <c r="D25" s="3" t="s">
        <v>240</v>
      </c>
      <c r="E25" s="3" t="s">
        <v>57</v>
      </c>
      <c r="F25" s="3" t="s">
        <v>58</v>
      </c>
      <c r="G25" s="3" t="s">
        <v>59</v>
      </c>
    </row>
    <row r="26" spans="1:7" ht="15" x14ac:dyDescent="0.25">
      <c r="A26" s="19">
        <v>24</v>
      </c>
      <c r="B26" s="7" t="s">
        <v>238</v>
      </c>
      <c r="C26" s="4" t="s">
        <v>133</v>
      </c>
      <c r="D26" s="3" t="s">
        <v>241</v>
      </c>
      <c r="E26" s="3" t="s">
        <v>57</v>
      </c>
      <c r="F26" s="3" t="s">
        <v>58</v>
      </c>
      <c r="G26" s="3" t="s">
        <v>59</v>
      </c>
    </row>
    <row r="27" spans="1:7" ht="15" x14ac:dyDescent="0.25">
      <c r="A27" s="19">
        <v>25</v>
      </c>
      <c r="B27" s="7" t="s">
        <v>242</v>
      </c>
      <c r="C27" s="4"/>
      <c r="D27" s="3" t="s">
        <v>32</v>
      </c>
      <c r="E27" s="3" t="s">
        <v>57</v>
      </c>
      <c r="F27" s="3" t="s">
        <v>58</v>
      </c>
      <c r="G27" s="3" t="s">
        <v>59</v>
      </c>
    </row>
    <row r="28" spans="1:7" ht="15" x14ac:dyDescent="0.25">
      <c r="A28" s="19">
        <v>26</v>
      </c>
      <c r="B28" s="7" t="s">
        <v>243</v>
      </c>
      <c r="C28" s="4"/>
      <c r="D28" s="3" t="s">
        <v>244</v>
      </c>
      <c r="E28" s="3" t="s">
        <v>57</v>
      </c>
      <c r="F28" s="3" t="s">
        <v>58</v>
      </c>
      <c r="G28" s="3" t="s">
        <v>59</v>
      </c>
    </row>
    <row r="29" spans="1:7" ht="15" x14ac:dyDescent="0.25">
      <c r="A29" s="19">
        <v>27</v>
      </c>
      <c r="B29" s="7" t="s">
        <v>245</v>
      </c>
      <c r="C29" s="4"/>
      <c r="D29" s="3" t="s">
        <v>31</v>
      </c>
      <c r="E29" s="3" t="s">
        <v>57</v>
      </c>
      <c r="F29" s="3" t="s">
        <v>58</v>
      </c>
      <c r="G29" s="3" t="s">
        <v>59</v>
      </c>
    </row>
    <row r="30" spans="1:7" ht="15" x14ac:dyDescent="0.25">
      <c r="A30" s="19">
        <v>28</v>
      </c>
      <c r="B30" s="7" t="s">
        <v>246</v>
      </c>
      <c r="C30" s="4" t="s">
        <v>159</v>
      </c>
      <c r="D30" s="3" t="s">
        <v>247</v>
      </c>
      <c r="E30" s="3" t="s">
        <v>57</v>
      </c>
      <c r="F30" s="3" t="s">
        <v>58</v>
      </c>
      <c r="G30" s="3" t="s">
        <v>59</v>
      </c>
    </row>
    <row r="31" spans="1:7" ht="15" x14ac:dyDescent="0.25">
      <c r="A31" s="19">
        <v>29</v>
      </c>
      <c r="B31" s="7" t="s">
        <v>246</v>
      </c>
      <c r="C31" s="4" t="s">
        <v>160</v>
      </c>
      <c r="D31" s="3" t="s">
        <v>248</v>
      </c>
      <c r="E31" s="3" t="s">
        <v>57</v>
      </c>
      <c r="F31" s="3" t="s">
        <v>58</v>
      </c>
      <c r="G31" s="3" t="s">
        <v>59</v>
      </c>
    </row>
    <row r="32" spans="1:7" ht="15" x14ac:dyDescent="0.25">
      <c r="A32" s="19">
        <v>30</v>
      </c>
      <c r="B32" s="7" t="s">
        <v>246</v>
      </c>
      <c r="C32" s="4" t="s">
        <v>161</v>
      </c>
      <c r="D32" s="3" t="s">
        <v>249</v>
      </c>
      <c r="E32" s="3" t="s">
        <v>57</v>
      </c>
      <c r="F32" s="3" t="s">
        <v>58</v>
      </c>
      <c r="G32" s="3" t="s">
        <v>59</v>
      </c>
    </row>
    <row r="33" spans="1:7" ht="15" x14ac:dyDescent="0.25">
      <c r="A33" s="19">
        <v>31</v>
      </c>
      <c r="B33" s="7" t="s">
        <v>246</v>
      </c>
      <c r="C33" s="4" t="s">
        <v>162</v>
      </c>
      <c r="D33" s="3" t="s">
        <v>250</v>
      </c>
      <c r="E33" s="3" t="s">
        <v>57</v>
      </c>
      <c r="F33" s="3" t="s">
        <v>58</v>
      </c>
      <c r="G33" s="3" t="s">
        <v>59</v>
      </c>
    </row>
    <row r="34" spans="1:7" ht="15" x14ac:dyDescent="0.25">
      <c r="A34" s="19">
        <v>32</v>
      </c>
      <c r="B34" s="7" t="s">
        <v>231</v>
      </c>
      <c r="C34" s="4" t="s">
        <v>147</v>
      </c>
      <c r="D34" s="3" t="s">
        <v>40</v>
      </c>
      <c r="E34" s="3" t="s">
        <v>57</v>
      </c>
      <c r="F34" s="3" t="s">
        <v>251</v>
      </c>
      <c r="G34" s="3" t="s">
        <v>60</v>
      </c>
    </row>
    <row r="35" spans="1:7" ht="15" x14ac:dyDescent="0.25">
      <c r="A35" s="19">
        <v>33</v>
      </c>
      <c r="B35" s="7" t="s">
        <v>231</v>
      </c>
      <c r="C35" s="4" t="s">
        <v>148</v>
      </c>
      <c r="D35" s="3" t="s">
        <v>41</v>
      </c>
      <c r="E35" s="3" t="s">
        <v>57</v>
      </c>
      <c r="F35" s="3" t="s">
        <v>251</v>
      </c>
      <c r="G35" s="3" t="s">
        <v>60</v>
      </c>
    </row>
    <row r="36" spans="1:7" ht="15" x14ac:dyDescent="0.25">
      <c r="A36" s="19">
        <v>34</v>
      </c>
      <c r="B36" s="7" t="s">
        <v>231</v>
      </c>
      <c r="C36" s="4" t="s">
        <v>149</v>
      </c>
      <c r="D36" s="3" t="s">
        <v>42</v>
      </c>
      <c r="E36" s="3" t="s">
        <v>57</v>
      </c>
      <c r="F36" s="3" t="s">
        <v>251</v>
      </c>
      <c r="G36" s="3" t="s">
        <v>60</v>
      </c>
    </row>
    <row r="37" spans="1:7" ht="15" x14ac:dyDescent="0.25">
      <c r="A37" s="19">
        <v>35</v>
      </c>
      <c r="B37" s="7" t="s">
        <v>231</v>
      </c>
      <c r="C37" s="4" t="s">
        <v>150</v>
      </c>
      <c r="D37" s="3" t="s">
        <v>43</v>
      </c>
      <c r="E37" s="3" t="s">
        <v>57</v>
      </c>
      <c r="F37" s="3" t="s">
        <v>251</v>
      </c>
      <c r="G37" s="3" t="s">
        <v>60</v>
      </c>
    </row>
    <row r="38" spans="1:7" ht="15" x14ac:dyDescent="0.25">
      <c r="A38" s="19">
        <v>36</v>
      </c>
      <c r="B38" s="7" t="s">
        <v>231</v>
      </c>
      <c r="C38" s="4" t="s">
        <v>151</v>
      </c>
      <c r="D38" s="3" t="s">
        <v>44</v>
      </c>
      <c r="E38" s="3" t="s">
        <v>57</v>
      </c>
      <c r="F38" s="3" t="s">
        <v>251</v>
      </c>
      <c r="G38" s="3" t="s">
        <v>60</v>
      </c>
    </row>
    <row r="39" spans="1:7" ht="15" x14ac:dyDescent="0.25">
      <c r="A39" s="19">
        <v>37</v>
      </c>
      <c r="B39" s="7" t="s">
        <v>231</v>
      </c>
      <c r="C39" s="4" t="s">
        <v>152</v>
      </c>
      <c r="D39" s="3" t="s">
        <v>45</v>
      </c>
      <c r="E39" s="3" t="s">
        <v>57</v>
      </c>
      <c r="F39" s="3" t="s">
        <v>251</v>
      </c>
      <c r="G39" s="3" t="s">
        <v>60</v>
      </c>
    </row>
    <row r="40" spans="1:7" ht="15" x14ac:dyDescent="0.25">
      <c r="A40" s="19">
        <v>38</v>
      </c>
      <c r="B40" s="7" t="s">
        <v>231</v>
      </c>
      <c r="C40" s="4" t="s">
        <v>153</v>
      </c>
      <c r="D40" s="3" t="s">
        <v>46</v>
      </c>
      <c r="E40" s="3" t="s">
        <v>57</v>
      </c>
      <c r="F40" s="3" t="s">
        <v>251</v>
      </c>
      <c r="G40" s="3" t="s">
        <v>60</v>
      </c>
    </row>
    <row r="41" spans="1:7" ht="15" x14ac:dyDescent="0.25">
      <c r="A41" s="19">
        <v>39</v>
      </c>
      <c r="B41" s="7" t="s">
        <v>231</v>
      </c>
      <c r="C41" s="4" t="s">
        <v>154</v>
      </c>
      <c r="D41" s="3" t="s">
        <v>47</v>
      </c>
      <c r="E41" s="3" t="s">
        <v>57</v>
      </c>
      <c r="F41" s="3" t="s">
        <v>251</v>
      </c>
      <c r="G41" s="3" t="s">
        <v>60</v>
      </c>
    </row>
    <row r="42" spans="1:7" ht="15" x14ac:dyDescent="0.25">
      <c r="A42" s="19">
        <v>40</v>
      </c>
      <c r="B42" s="7" t="s">
        <v>231</v>
      </c>
      <c r="C42" s="4" t="s">
        <v>155</v>
      </c>
      <c r="D42" s="3" t="s">
        <v>212</v>
      </c>
      <c r="E42" s="3" t="s">
        <v>57</v>
      </c>
      <c r="F42" s="3" t="s">
        <v>251</v>
      </c>
      <c r="G42" s="3" t="s">
        <v>60</v>
      </c>
    </row>
    <row r="43" spans="1:7" ht="15" x14ac:dyDescent="0.25">
      <c r="A43" s="19">
        <v>41</v>
      </c>
      <c r="B43" s="7" t="s">
        <v>231</v>
      </c>
      <c r="C43" s="4" t="s">
        <v>156</v>
      </c>
      <c r="D43" s="3" t="s">
        <v>213</v>
      </c>
      <c r="E43" s="3" t="s">
        <v>57</v>
      </c>
      <c r="F43" s="3" t="s">
        <v>251</v>
      </c>
      <c r="G43" s="3" t="s">
        <v>60</v>
      </c>
    </row>
    <row r="44" spans="1:7" ht="15" x14ac:dyDescent="0.25">
      <c r="A44" s="19">
        <v>42</v>
      </c>
      <c r="B44" s="7" t="s">
        <v>231</v>
      </c>
      <c r="C44" s="4" t="s">
        <v>157</v>
      </c>
      <c r="D44" s="3" t="s">
        <v>214</v>
      </c>
      <c r="E44" s="3" t="s">
        <v>57</v>
      </c>
      <c r="F44" s="3" t="s">
        <v>251</v>
      </c>
      <c r="G44" s="3" t="s">
        <v>60</v>
      </c>
    </row>
    <row r="45" spans="1:7" ht="15" x14ac:dyDescent="0.25">
      <c r="A45" s="19">
        <v>43</v>
      </c>
      <c r="B45" s="7" t="s">
        <v>231</v>
      </c>
      <c r="C45" s="4" t="s">
        <v>135</v>
      </c>
      <c r="D45" s="3" t="s">
        <v>50</v>
      </c>
      <c r="E45" s="3" t="s">
        <v>57</v>
      </c>
      <c r="F45" s="3" t="s">
        <v>251</v>
      </c>
      <c r="G45" s="3" t="s">
        <v>60</v>
      </c>
    </row>
    <row r="46" spans="1:7" ht="15" x14ac:dyDescent="0.25">
      <c r="A46" s="19">
        <v>44</v>
      </c>
      <c r="B46" s="7" t="s">
        <v>238</v>
      </c>
      <c r="C46" s="4" t="s">
        <v>155</v>
      </c>
      <c r="D46" s="3" t="s">
        <v>215</v>
      </c>
      <c r="E46" s="3" t="s">
        <v>57</v>
      </c>
      <c r="F46" s="3" t="s">
        <v>251</v>
      </c>
      <c r="G46" s="3" t="s">
        <v>60</v>
      </c>
    </row>
    <row r="47" spans="1:7" ht="15" x14ac:dyDescent="0.25">
      <c r="A47" s="19">
        <v>45</v>
      </c>
      <c r="B47" s="7" t="s">
        <v>238</v>
      </c>
      <c r="C47" s="4" t="s">
        <v>156</v>
      </c>
      <c r="D47" s="3" t="s">
        <v>216</v>
      </c>
      <c r="E47" s="3" t="s">
        <v>57</v>
      </c>
      <c r="F47" s="3" t="s">
        <v>251</v>
      </c>
      <c r="G47" s="3" t="s">
        <v>60</v>
      </c>
    </row>
    <row r="48" spans="1:7" ht="15" x14ac:dyDescent="0.25">
      <c r="A48" s="19">
        <v>46</v>
      </c>
      <c r="B48" s="7" t="s">
        <v>238</v>
      </c>
      <c r="C48" s="4" t="s">
        <v>157</v>
      </c>
      <c r="D48" s="3" t="s">
        <v>217</v>
      </c>
      <c r="E48" s="3" t="s">
        <v>57</v>
      </c>
      <c r="F48" s="3" t="s">
        <v>251</v>
      </c>
      <c r="G48" s="3" t="s">
        <v>60</v>
      </c>
    </row>
    <row r="49" spans="1:7" ht="15" x14ac:dyDescent="0.25">
      <c r="A49" s="19">
        <v>47</v>
      </c>
      <c r="B49" s="7" t="s">
        <v>242</v>
      </c>
      <c r="C49" s="4" t="s">
        <v>158</v>
      </c>
      <c r="D49" s="3" t="s">
        <v>48</v>
      </c>
      <c r="E49" s="3" t="s">
        <v>57</v>
      </c>
      <c r="F49" s="3" t="s">
        <v>251</v>
      </c>
      <c r="G49" s="3" t="s">
        <v>60</v>
      </c>
    </row>
    <row r="50" spans="1:7" ht="15" x14ac:dyDescent="0.25">
      <c r="A50" s="19">
        <v>48</v>
      </c>
      <c r="B50" s="7" t="s">
        <v>245</v>
      </c>
      <c r="C50" s="4" t="s">
        <v>158</v>
      </c>
      <c r="D50" s="3" t="s">
        <v>49</v>
      </c>
      <c r="E50" s="3" t="s">
        <v>57</v>
      </c>
      <c r="F50" s="3" t="s">
        <v>251</v>
      </c>
      <c r="G50" s="3" t="s">
        <v>60</v>
      </c>
    </row>
    <row r="51" spans="1:7" ht="15" x14ac:dyDescent="0.25">
      <c r="A51" s="19">
        <v>49</v>
      </c>
      <c r="B51" s="7" t="s">
        <v>231</v>
      </c>
      <c r="C51" s="4" t="s">
        <v>172</v>
      </c>
      <c r="D51" s="3" t="s">
        <v>36</v>
      </c>
      <c r="E51" s="3">
        <v>0</v>
      </c>
      <c r="F51" s="3" t="s">
        <v>120</v>
      </c>
      <c r="G51" s="3" t="s">
        <v>128</v>
      </c>
    </row>
    <row r="52" spans="1:7" ht="15" x14ac:dyDescent="0.25">
      <c r="A52" s="19"/>
      <c r="B52" s="7"/>
      <c r="C52" s="15"/>
      <c r="D52" s="3"/>
      <c r="E52" s="3">
        <v>1</v>
      </c>
      <c r="F52" s="3" t="s">
        <v>121</v>
      </c>
      <c r="G52" s="3" t="s">
        <v>128</v>
      </c>
    </row>
    <row r="53" spans="1:7" ht="15" x14ac:dyDescent="0.25">
      <c r="A53" s="19"/>
      <c r="B53" s="7"/>
      <c r="C53" s="15"/>
      <c r="D53" s="3"/>
      <c r="E53" s="3">
        <v>2</v>
      </c>
      <c r="F53" s="3" t="s">
        <v>122</v>
      </c>
      <c r="G53" s="3" t="s">
        <v>128</v>
      </c>
    </row>
    <row r="54" spans="1:7" ht="15" x14ac:dyDescent="0.25">
      <c r="A54" s="19"/>
      <c r="B54" s="7"/>
      <c r="C54" s="15"/>
      <c r="D54" s="3"/>
      <c r="E54" s="3">
        <v>3</v>
      </c>
      <c r="F54" s="3" t="s">
        <v>123</v>
      </c>
      <c r="G54" s="3" t="s">
        <v>128</v>
      </c>
    </row>
    <row r="55" spans="1:7" ht="15" x14ac:dyDescent="0.25">
      <c r="A55" s="19"/>
      <c r="B55" s="7"/>
      <c r="C55" s="15"/>
      <c r="D55" s="3"/>
      <c r="E55" s="3">
        <v>4</v>
      </c>
      <c r="F55" s="3" t="s">
        <v>124</v>
      </c>
      <c r="G55" s="3" t="s">
        <v>128</v>
      </c>
    </row>
    <row r="56" spans="1:7" ht="15" x14ac:dyDescent="0.25">
      <c r="A56" s="19"/>
      <c r="B56" s="7"/>
      <c r="C56" s="15"/>
      <c r="D56" s="3"/>
      <c r="E56" s="3">
        <v>5</v>
      </c>
      <c r="F56" s="3" t="s">
        <v>125</v>
      </c>
      <c r="G56" s="3" t="s">
        <v>128</v>
      </c>
    </row>
    <row r="57" spans="1:7" ht="15" x14ac:dyDescent="0.25">
      <c r="A57" s="19"/>
      <c r="B57" s="7"/>
      <c r="C57" s="15"/>
      <c r="D57" s="3"/>
      <c r="E57" s="3">
        <v>6</v>
      </c>
      <c r="F57" s="3" t="s">
        <v>126</v>
      </c>
      <c r="G57" s="3" t="s">
        <v>128</v>
      </c>
    </row>
    <row r="58" spans="1:7" ht="15" x14ac:dyDescent="0.25">
      <c r="A58" s="19"/>
      <c r="B58" s="7"/>
      <c r="C58" s="4"/>
      <c r="D58" s="3"/>
      <c r="E58" s="3">
        <v>7</v>
      </c>
      <c r="F58" s="3" t="s">
        <v>127</v>
      </c>
      <c r="G58" s="3" t="s">
        <v>128</v>
      </c>
    </row>
    <row r="59" spans="1:7" ht="15.75" x14ac:dyDescent="0.25">
      <c r="A59" s="19"/>
      <c r="B59" s="7"/>
      <c r="C59" s="4"/>
      <c r="D59" s="3"/>
      <c r="E59" s="3">
        <v>8</v>
      </c>
      <c r="F59" s="21" t="s">
        <v>252</v>
      </c>
      <c r="G59" s="3" t="s">
        <v>128</v>
      </c>
    </row>
    <row r="60" spans="1:7" ht="15.75" x14ac:dyDescent="0.25">
      <c r="A60" s="19"/>
      <c r="B60" s="7"/>
      <c r="C60" s="4"/>
      <c r="D60" s="3"/>
      <c r="E60" s="3">
        <v>9</v>
      </c>
      <c r="F60" s="21" t="s">
        <v>253</v>
      </c>
      <c r="G60" s="3" t="s">
        <v>128</v>
      </c>
    </row>
    <row r="61" spans="1:7" ht="15.75" x14ac:dyDescent="0.25">
      <c r="A61" s="19"/>
      <c r="B61" s="7"/>
      <c r="C61" s="4"/>
      <c r="D61" s="3"/>
      <c r="E61" s="3">
        <v>10</v>
      </c>
      <c r="F61" s="21" t="s">
        <v>254</v>
      </c>
      <c r="G61" s="3" t="s">
        <v>128</v>
      </c>
    </row>
    <row r="62" spans="1:7" ht="15" x14ac:dyDescent="0.25">
      <c r="A62" s="19"/>
      <c r="B62" s="7"/>
      <c r="C62" s="4"/>
      <c r="D62" s="3"/>
      <c r="E62" s="3">
        <v>11</v>
      </c>
      <c r="F62" s="3"/>
      <c r="G62" s="3"/>
    </row>
    <row r="63" spans="1:7" ht="15" x14ac:dyDescent="0.25">
      <c r="A63" s="19"/>
      <c r="B63" s="7"/>
      <c r="C63" s="4"/>
      <c r="D63" s="3"/>
      <c r="E63" s="3">
        <v>12</v>
      </c>
      <c r="F63" s="3"/>
      <c r="G63" s="3"/>
    </row>
    <row r="64" spans="1:7" ht="15" x14ac:dyDescent="0.25">
      <c r="A64" s="19"/>
      <c r="B64" s="7"/>
      <c r="C64" s="4"/>
      <c r="D64" s="3"/>
      <c r="E64" s="3">
        <v>13</v>
      </c>
      <c r="F64" s="3"/>
      <c r="G64" s="3"/>
    </row>
    <row r="65" spans="1:7" ht="15" x14ac:dyDescent="0.25">
      <c r="A65" s="19"/>
      <c r="B65" s="7"/>
      <c r="C65" s="4"/>
      <c r="D65" s="3"/>
      <c r="E65" s="3">
        <v>14</v>
      </c>
      <c r="F65" s="3"/>
      <c r="G65" s="3"/>
    </row>
    <row r="66" spans="1:7" ht="15" x14ac:dyDescent="0.25">
      <c r="A66" s="19"/>
      <c r="B66" s="7"/>
      <c r="C66" s="4"/>
      <c r="D66" s="3"/>
      <c r="E66" s="3">
        <v>15</v>
      </c>
      <c r="F66" s="3"/>
      <c r="G66" s="3"/>
    </row>
    <row r="67" spans="1:7" ht="15" x14ac:dyDescent="0.25">
      <c r="A67" s="19">
        <v>50</v>
      </c>
      <c r="B67" s="19" t="s">
        <v>231</v>
      </c>
      <c r="C67" s="4" t="s">
        <v>163</v>
      </c>
      <c r="D67" s="3" t="s">
        <v>33</v>
      </c>
      <c r="E67" s="3">
        <v>0</v>
      </c>
      <c r="F67" s="3" t="s">
        <v>62</v>
      </c>
      <c r="G67" s="3" t="s">
        <v>61</v>
      </c>
    </row>
    <row r="68" spans="1:7" ht="15" x14ac:dyDescent="0.25">
      <c r="A68" s="19"/>
      <c r="B68" s="19"/>
      <c r="C68" s="15"/>
      <c r="D68" s="3"/>
      <c r="E68" s="3">
        <v>1</v>
      </c>
      <c r="F68" s="3" t="s">
        <v>63</v>
      </c>
      <c r="G68" s="3" t="s">
        <v>61</v>
      </c>
    </row>
    <row r="69" spans="1:7" ht="15" x14ac:dyDescent="0.25">
      <c r="A69" s="19"/>
      <c r="B69" s="19"/>
      <c r="C69" s="15"/>
      <c r="D69" s="3"/>
      <c r="E69" s="3">
        <v>2</v>
      </c>
      <c r="F69" s="3" t="s">
        <v>64</v>
      </c>
      <c r="G69" s="3" t="s">
        <v>61</v>
      </c>
    </row>
    <row r="70" spans="1:7" ht="15" x14ac:dyDescent="0.25">
      <c r="A70" s="19"/>
      <c r="B70" s="19"/>
      <c r="C70" s="15"/>
      <c r="D70" s="3"/>
      <c r="E70" s="3">
        <v>3</v>
      </c>
      <c r="F70" s="3" t="s">
        <v>65</v>
      </c>
      <c r="G70" s="3" t="s">
        <v>61</v>
      </c>
    </row>
    <row r="71" spans="1:7" ht="15" x14ac:dyDescent="0.25">
      <c r="A71" s="19"/>
      <c r="B71" s="19"/>
      <c r="C71" s="15"/>
      <c r="D71" s="3"/>
      <c r="E71" s="3">
        <v>4</v>
      </c>
      <c r="F71" s="3" t="s">
        <v>66</v>
      </c>
      <c r="G71" s="3" t="s">
        <v>61</v>
      </c>
    </row>
    <row r="72" spans="1:7" ht="15" x14ac:dyDescent="0.25">
      <c r="A72" s="19"/>
      <c r="B72" s="19"/>
      <c r="C72" s="15"/>
      <c r="D72" s="3"/>
      <c r="E72" s="3">
        <v>5</v>
      </c>
      <c r="F72" s="3" t="s">
        <v>67</v>
      </c>
      <c r="G72" s="3" t="s">
        <v>61</v>
      </c>
    </row>
    <row r="73" spans="1:7" ht="15" x14ac:dyDescent="0.25">
      <c r="A73" s="19"/>
      <c r="B73" s="19"/>
      <c r="C73" s="15"/>
      <c r="D73" s="3"/>
      <c r="E73" s="3">
        <v>6</v>
      </c>
      <c r="F73" s="3" t="s">
        <v>68</v>
      </c>
      <c r="G73" s="3" t="s">
        <v>61</v>
      </c>
    </row>
    <row r="74" spans="1:7" ht="15" x14ac:dyDescent="0.25">
      <c r="A74" s="19"/>
      <c r="B74" s="19"/>
      <c r="C74" s="15"/>
      <c r="D74" s="3"/>
      <c r="E74" s="3">
        <v>7</v>
      </c>
      <c r="F74" s="3" t="s">
        <v>69</v>
      </c>
      <c r="G74" s="3" t="s">
        <v>61</v>
      </c>
    </row>
    <row r="75" spans="1:7" ht="15.75" x14ac:dyDescent="0.25">
      <c r="A75" s="19"/>
      <c r="B75" s="19"/>
      <c r="C75" s="15"/>
      <c r="D75" s="3"/>
      <c r="E75" s="3">
        <v>8</v>
      </c>
      <c r="F75" s="21" t="s">
        <v>255</v>
      </c>
      <c r="G75" s="3" t="s">
        <v>61</v>
      </c>
    </row>
    <row r="76" spans="1:7" ht="15.75" x14ac:dyDescent="0.25">
      <c r="A76" s="19"/>
      <c r="B76" s="19"/>
      <c r="C76" s="15"/>
      <c r="D76" s="3"/>
      <c r="E76" s="3">
        <v>9</v>
      </c>
      <c r="F76" s="21" t="s">
        <v>256</v>
      </c>
      <c r="G76" s="3" t="s">
        <v>61</v>
      </c>
    </row>
    <row r="77" spans="1:7" ht="15.75" x14ac:dyDescent="0.25">
      <c r="A77" s="19"/>
      <c r="B77" s="19"/>
      <c r="C77" s="15"/>
      <c r="D77" s="3"/>
      <c r="E77" s="3">
        <v>10</v>
      </c>
      <c r="F77" s="21" t="s">
        <v>257</v>
      </c>
      <c r="G77" s="3" t="s">
        <v>61</v>
      </c>
    </row>
    <row r="78" spans="1:7" ht="15" x14ac:dyDescent="0.25">
      <c r="A78" s="19"/>
      <c r="B78" s="19"/>
      <c r="C78" s="15"/>
      <c r="D78" s="3"/>
      <c r="E78" s="3">
        <v>11</v>
      </c>
      <c r="F78" s="3"/>
      <c r="G78" s="3"/>
    </row>
    <row r="79" spans="1:7" ht="15" x14ac:dyDescent="0.25">
      <c r="A79" s="19"/>
      <c r="B79" s="19"/>
      <c r="C79" s="15"/>
      <c r="D79" s="3"/>
      <c r="E79" s="3">
        <v>12</v>
      </c>
      <c r="F79" s="3"/>
      <c r="G79" s="3"/>
    </row>
    <row r="80" spans="1:7" ht="15" x14ac:dyDescent="0.25">
      <c r="A80" s="19"/>
      <c r="B80" s="19"/>
      <c r="C80" s="15"/>
      <c r="D80" s="3"/>
      <c r="E80" s="3">
        <v>13</v>
      </c>
      <c r="F80" s="3"/>
      <c r="G80" s="3"/>
    </row>
    <row r="81" spans="1:7" ht="15" x14ac:dyDescent="0.25">
      <c r="A81" s="19"/>
      <c r="B81" s="19"/>
      <c r="C81" s="4"/>
      <c r="D81" s="3"/>
      <c r="E81" s="3">
        <v>14</v>
      </c>
      <c r="F81" s="3"/>
      <c r="G81" s="3"/>
    </row>
    <row r="82" spans="1:7" ht="15" x14ac:dyDescent="0.25">
      <c r="A82" s="19"/>
      <c r="B82" s="19"/>
      <c r="C82" s="4"/>
      <c r="D82" s="3"/>
      <c r="E82" s="3">
        <v>15</v>
      </c>
      <c r="F82" s="3"/>
      <c r="G82" s="3"/>
    </row>
    <row r="83" spans="1:7" ht="15" x14ac:dyDescent="0.25">
      <c r="A83" s="19">
        <v>51</v>
      </c>
      <c r="B83" s="19" t="s">
        <v>231</v>
      </c>
      <c r="C83" s="4" t="s">
        <v>164</v>
      </c>
      <c r="D83" s="3" t="s">
        <v>34</v>
      </c>
      <c r="E83" s="3">
        <v>0</v>
      </c>
      <c r="F83" s="3" t="s">
        <v>70</v>
      </c>
      <c r="G83" s="3" t="s">
        <v>258</v>
      </c>
    </row>
    <row r="84" spans="1:7" ht="15" x14ac:dyDescent="0.25">
      <c r="A84" s="19"/>
      <c r="B84" s="19"/>
      <c r="C84" s="15"/>
      <c r="D84" s="3"/>
      <c r="E84" s="3">
        <v>1</v>
      </c>
      <c r="F84" s="3" t="s">
        <v>71</v>
      </c>
      <c r="G84" s="3" t="s">
        <v>258</v>
      </c>
    </row>
    <row r="85" spans="1:7" ht="15" x14ac:dyDescent="0.25">
      <c r="A85" s="19"/>
      <c r="B85" s="19"/>
      <c r="C85" s="15"/>
      <c r="D85" s="3"/>
      <c r="E85" s="3">
        <v>2</v>
      </c>
      <c r="F85" s="3" t="s">
        <v>72</v>
      </c>
      <c r="G85" s="3" t="s">
        <v>258</v>
      </c>
    </row>
    <row r="86" spans="1:7" ht="15" x14ac:dyDescent="0.25">
      <c r="A86" s="19"/>
      <c r="B86" s="19"/>
      <c r="C86" s="15"/>
      <c r="D86" s="3"/>
      <c r="E86" s="3">
        <v>3</v>
      </c>
      <c r="F86" s="3" t="s">
        <v>73</v>
      </c>
      <c r="G86" s="3" t="s">
        <v>258</v>
      </c>
    </row>
    <row r="87" spans="1:7" ht="15" x14ac:dyDescent="0.25">
      <c r="A87" s="19"/>
      <c r="B87" s="19"/>
      <c r="C87" s="15"/>
      <c r="D87" s="3"/>
      <c r="E87" s="3">
        <v>4</v>
      </c>
      <c r="F87" s="3" t="s">
        <v>74</v>
      </c>
      <c r="G87" s="3" t="s">
        <v>258</v>
      </c>
    </row>
    <row r="88" spans="1:7" ht="15" x14ac:dyDescent="0.25">
      <c r="A88" s="19"/>
      <c r="B88" s="19"/>
      <c r="C88" s="15"/>
      <c r="D88" s="3"/>
      <c r="E88" s="3">
        <v>5</v>
      </c>
      <c r="F88" s="3" t="s">
        <v>75</v>
      </c>
      <c r="G88" s="3" t="s">
        <v>258</v>
      </c>
    </row>
    <row r="89" spans="1:7" ht="15" x14ac:dyDescent="0.25">
      <c r="A89" s="19"/>
      <c r="B89" s="19"/>
      <c r="C89" s="15"/>
      <c r="D89" s="3"/>
      <c r="E89" s="3">
        <v>6</v>
      </c>
      <c r="F89" s="3" t="s">
        <v>76</v>
      </c>
      <c r="G89" s="3" t="s">
        <v>258</v>
      </c>
    </row>
    <row r="90" spans="1:7" ht="15" x14ac:dyDescent="0.25">
      <c r="A90" s="19"/>
      <c r="B90" s="19"/>
      <c r="C90" s="15"/>
      <c r="D90" s="3"/>
      <c r="E90" s="3">
        <v>7</v>
      </c>
      <c r="F90" s="3" t="s">
        <v>77</v>
      </c>
      <c r="G90" s="3" t="s">
        <v>258</v>
      </c>
    </row>
    <row r="91" spans="1:7" ht="15.75" x14ac:dyDescent="0.25">
      <c r="A91" s="19"/>
      <c r="B91" s="19"/>
      <c r="C91" s="15"/>
      <c r="D91" s="3"/>
      <c r="E91" s="3">
        <v>8</v>
      </c>
      <c r="F91" s="21" t="s">
        <v>259</v>
      </c>
      <c r="G91" s="3" t="s">
        <v>258</v>
      </c>
    </row>
    <row r="92" spans="1:7" ht="15.75" x14ac:dyDescent="0.25">
      <c r="A92" s="19"/>
      <c r="B92" s="19"/>
      <c r="C92" s="15"/>
      <c r="D92" s="3"/>
      <c r="E92" s="3">
        <v>9</v>
      </c>
      <c r="F92" s="21" t="s">
        <v>260</v>
      </c>
      <c r="G92" s="3" t="s">
        <v>258</v>
      </c>
    </row>
    <row r="93" spans="1:7" ht="15.75" x14ac:dyDescent="0.25">
      <c r="A93" s="19"/>
      <c r="B93" s="19"/>
      <c r="C93" s="15"/>
      <c r="D93" s="3"/>
      <c r="E93" s="3">
        <v>10</v>
      </c>
      <c r="F93" s="21" t="s">
        <v>261</v>
      </c>
      <c r="G93" s="3" t="s">
        <v>258</v>
      </c>
    </row>
    <row r="94" spans="1:7" ht="15" x14ac:dyDescent="0.25">
      <c r="A94" s="19"/>
      <c r="B94" s="19"/>
      <c r="C94" s="15"/>
      <c r="D94" s="3"/>
      <c r="E94" s="3">
        <v>11</v>
      </c>
      <c r="F94" s="3"/>
      <c r="G94" s="3"/>
    </row>
    <row r="95" spans="1:7" ht="15" x14ac:dyDescent="0.25">
      <c r="A95" s="19"/>
      <c r="B95" s="19"/>
      <c r="C95" s="15"/>
      <c r="D95" s="3"/>
      <c r="E95" s="3">
        <v>12</v>
      </c>
      <c r="F95" s="3"/>
      <c r="G95" s="3"/>
    </row>
    <row r="96" spans="1:7" ht="15" x14ac:dyDescent="0.25">
      <c r="A96" s="19"/>
      <c r="B96" s="19"/>
      <c r="C96" s="4"/>
      <c r="D96" s="3"/>
      <c r="E96" s="3">
        <v>13</v>
      </c>
      <c r="F96" s="3"/>
      <c r="G96" s="3"/>
    </row>
    <row r="97" spans="1:7" ht="15" x14ac:dyDescent="0.25">
      <c r="A97" s="19"/>
      <c r="B97" s="19"/>
      <c r="C97" s="4"/>
      <c r="D97" s="3"/>
      <c r="E97" s="3">
        <v>14</v>
      </c>
      <c r="F97" s="3"/>
      <c r="G97" s="3"/>
    </row>
    <row r="98" spans="1:7" ht="15" x14ac:dyDescent="0.25">
      <c r="A98" s="19"/>
      <c r="B98" s="19"/>
      <c r="C98" s="4"/>
      <c r="D98" s="3"/>
      <c r="E98" s="3">
        <v>15</v>
      </c>
      <c r="F98" s="3"/>
      <c r="G98" s="3"/>
    </row>
    <row r="99" spans="1:7" ht="15" x14ac:dyDescent="0.25">
      <c r="A99" s="19">
        <v>52</v>
      </c>
      <c r="B99" s="19" t="s">
        <v>231</v>
      </c>
      <c r="C99" s="4" t="s">
        <v>167</v>
      </c>
      <c r="D99" s="3" t="s">
        <v>262</v>
      </c>
      <c r="E99" s="3">
        <v>0</v>
      </c>
      <c r="F99" s="3" t="s">
        <v>263</v>
      </c>
      <c r="G99" s="3" t="s">
        <v>61</v>
      </c>
    </row>
    <row r="100" spans="1:7" ht="15" x14ac:dyDescent="0.25">
      <c r="A100" s="19"/>
      <c r="B100" s="19"/>
      <c r="C100" s="15"/>
      <c r="D100" s="3"/>
      <c r="E100" s="3">
        <v>1</v>
      </c>
      <c r="F100" s="3" t="s">
        <v>264</v>
      </c>
      <c r="G100" s="3" t="s">
        <v>61</v>
      </c>
    </row>
    <row r="101" spans="1:7" ht="15" x14ac:dyDescent="0.25">
      <c r="A101" s="19"/>
      <c r="B101" s="19"/>
      <c r="C101" s="15"/>
      <c r="D101" s="3"/>
      <c r="E101" s="3">
        <v>2</v>
      </c>
      <c r="F101" s="3" t="s">
        <v>265</v>
      </c>
      <c r="G101" s="3" t="s">
        <v>61</v>
      </c>
    </row>
    <row r="102" spans="1:7" ht="15" x14ac:dyDescent="0.25">
      <c r="A102" s="19"/>
      <c r="B102" s="19"/>
      <c r="C102" s="15"/>
      <c r="D102" s="3"/>
      <c r="E102" s="3">
        <v>3</v>
      </c>
      <c r="F102" s="3" t="s">
        <v>266</v>
      </c>
      <c r="G102" s="3" t="s">
        <v>61</v>
      </c>
    </row>
    <row r="103" spans="1:7" ht="15" x14ac:dyDescent="0.25">
      <c r="A103" s="19"/>
      <c r="B103" s="19"/>
      <c r="C103" s="15"/>
      <c r="D103" s="3"/>
      <c r="E103" s="3">
        <v>4</v>
      </c>
      <c r="F103" s="3" t="s">
        <v>267</v>
      </c>
      <c r="G103" s="3" t="s">
        <v>61</v>
      </c>
    </row>
    <row r="104" spans="1:7" ht="15" x14ac:dyDescent="0.25">
      <c r="A104" s="19"/>
      <c r="B104" s="19"/>
      <c r="C104" s="15"/>
      <c r="D104" s="3"/>
      <c r="E104" s="3">
        <v>5</v>
      </c>
      <c r="F104" s="3" t="s">
        <v>268</v>
      </c>
      <c r="G104" s="3" t="s">
        <v>61</v>
      </c>
    </row>
    <row r="105" spans="1:7" ht="15" x14ac:dyDescent="0.25">
      <c r="A105" s="19"/>
      <c r="B105" s="19"/>
      <c r="C105" s="15"/>
      <c r="D105" s="3"/>
      <c r="E105" s="3">
        <v>6</v>
      </c>
      <c r="F105" s="3" t="s">
        <v>269</v>
      </c>
      <c r="G105" s="3" t="s">
        <v>61</v>
      </c>
    </row>
    <row r="106" spans="1:7" ht="15" x14ac:dyDescent="0.25">
      <c r="A106" s="19"/>
      <c r="B106" s="19"/>
      <c r="C106" s="15"/>
      <c r="D106" s="3"/>
      <c r="E106" s="3">
        <v>7</v>
      </c>
      <c r="F106" s="3" t="s">
        <v>270</v>
      </c>
      <c r="G106" s="3" t="s">
        <v>61</v>
      </c>
    </row>
    <row r="107" spans="1:7" ht="15.75" x14ac:dyDescent="0.25">
      <c r="A107" s="19"/>
      <c r="B107" s="19"/>
      <c r="C107" s="15"/>
      <c r="D107" s="3"/>
      <c r="E107" s="3">
        <v>8</v>
      </c>
      <c r="F107" s="21" t="s">
        <v>271</v>
      </c>
      <c r="G107" s="3" t="s">
        <v>61</v>
      </c>
    </row>
    <row r="108" spans="1:7" ht="15.75" x14ac:dyDescent="0.25">
      <c r="A108" s="19"/>
      <c r="B108" s="19"/>
      <c r="C108" s="15"/>
      <c r="D108" s="3"/>
      <c r="E108" s="3">
        <v>9</v>
      </c>
      <c r="F108" s="21" t="s">
        <v>272</v>
      </c>
      <c r="G108" s="3" t="s">
        <v>61</v>
      </c>
    </row>
    <row r="109" spans="1:7" ht="15.75" x14ac:dyDescent="0.25">
      <c r="A109" s="19"/>
      <c r="B109" s="19"/>
      <c r="C109" s="15"/>
      <c r="D109" s="3"/>
      <c r="E109" s="3">
        <v>10</v>
      </c>
      <c r="F109" s="21" t="s">
        <v>273</v>
      </c>
      <c r="G109" s="3" t="s">
        <v>61</v>
      </c>
    </row>
    <row r="110" spans="1:7" ht="15" x14ac:dyDescent="0.25">
      <c r="A110" s="19"/>
      <c r="B110" s="19"/>
      <c r="C110" s="15"/>
      <c r="D110" s="3"/>
      <c r="E110" s="3">
        <v>11</v>
      </c>
      <c r="F110" s="3"/>
      <c r="G110" s="3"/>
    </row>
    <row r="111" spans="1:7" ht="15" x14ac:dyDescent="0.25">
      <c r="A111" s="19"/>
      <c r="B111" s="19"/>
      <c r="C111" s="15"/>
      <c r="D111" s="3"/>
      <c r="E111" s="3">
        <v>12</v>
      </c>
      <c r="F111" s="3"/>
      <c r="G111" s="3"/>
    </row>
    <row r="112" spans="1:7" ht="15" x14ac:dyDescent="0.25">
      <c r="A112" s="19"/>
      <c r="B112" s="19"/>
      <c r="C112" s="15"/>
      <c r="D112" s="3"/>
      <c r="E112" s="3">
        <v>13</v>
      </c>
      <c r="F112" s="3"/>
      <c r="G112" s="3"/>
    </row>
    <row r="113" spans="1:7" ht="15" x14ac:dyDescent="0.25">
      <c r="A113" s="19"/>
      <c r="B113" s="19"/>
      <c r="C113" s="15"/>
      <c r="D113" s="3"/>
      <c r="E113" s="3">
        <v>14</v>
      </c>
      <c r="F113" s="3"/>
      <c r="G113" s="3"/>
    </row>
    <row r="114" spans="1:7" ht="15" x14ac:dyDescent="0.25">
      <c r="A114" s="19"/>
      <c r="B114" s="19"/>
      <c r="C114" s="15"/>
      <c r="D114" s="3"/>
      <c r="E114" s="3">
        <v>15</v>
      </c>
      <c r="F114" s="3"/>
      <c r="G114" s="3"/>
    </row>
    <row r="115" spans="1:7" ht="15" x14ac:dyDescent="0.25">
      <c r="A115" s="19">
        <v>53</v>
      </c>
      <c r="B115" s="19" t="s">
        <v>231</v>
      </c>
      <c r="C115" s="4" t="s">
        <v>168</v>
      </c>
      <c r="D115" s="3" t="s">
        <v>274</v>
      </c>
      <c r="E115" s="3">
        <v>0</v>
      </c>
      <c r="F115" s="3" t="s">
        <v>275</v>
      </c>
      <c r="G115" s="3" t="s">
        <v>276</v>
      </c>
    </row>
    <row r="116" spans="1:7" ht="15" x14ac:dyDescent="0.25">
      <c r="A116" s="19"/>
      <c r="B116" s="19"/>
      <c r="C116" s="15"/>
      <c r="D116" s="3"/>
      <c r="E116" s="3">
        <v>1</v>
      </c>
      <c r="F116" s="3" t="s">
        <v>277</v>
      </c>
      <c r="G116" s="3" t="s">
        <v>276</v>
      </c>
    </row>
    <row r="117" spans="1:7" ht="15" x14ac:dyDescent="0.25">
      <c r="A117" s="19"/>
      <c r="B117" s="19"/>
      <c r="C117" s="15"/>
      <c r="D117" s="3"/>
      <c r="E117" s="3">
        <v>2</v>
      </c>
      <c r="F117" s="3" t="s">
        <v>278</v>
      </c>
      <c r="G117" s="3" t="s">
        <v>276</v>
      </c>
    </row>
    <row r="118" spans="1:7" ht="15" x14ac:dyDescent="0.25">
      <c r="A118" s="19"/>
      <c r="B118" s="19"/>
      <c r="C118" s="15"/>
      <c r="D118" s="3"/>
      <c r="E118" s="3">
        <v>3</v>
      </c>
      <c r="F118" s="3" t="s">
        <v>279</v>
      </c>
      <c r="G118" s="3" t="s">
        <v>276</v>
      </c>
    </row>
    <row r="119" spans="1:7" ht="15" x14ac:dyDescent="0.25">
      <c r="A119" s="19"/>
      <c r="B119" s="19"/>
      <c r="C119" s="15"/>
      <c r="D119" s="3"/>
      <c r="E119" s="3">
        <v>4</v>
      </c>
      <c r="F119" s="3" t="s">
        <v>280</v>
      </c>
      <c r="G119" s="3" t="s">
        <v>276</v>
      </c>
    </row>
    <row r="120" spans="1:7" ht="15" x14ac:dyDescent="0.25">
      <c r="A120" s="19"/>
      <c r="B120" s="19"/>
      <c r="C120" s="15"/>
      <c r="D120" s="3"/>
      <c r="E120" s="3">
        <v>5</v>
      </c>
      <c r="F120" s="3" t="s">
        <v>281</v>
      </c>
      <c r="G120" s="3" t="s">
        <v>276</v>
      </c>
    </row>
    <row r="121" spans="1:7" ht="15" x14ac:dyDescent="0.25">
      <c r="A121" s="19"/>
      <c r="B121" s="19"/>
      <c r="C121" s="15"/>
      <c r="D121" s="3"/>
      <c r="E121" s="3">
        <v>6</v>
      </c>
      <c r="F121" s="3" t="s">
        <v>282</v>
      </c>
      <c r="G121" s="3" t="s">
        <v>276</v>
      </c>
    </row>
    <row r="122" spans="1:7" ht="15" x14ac:dyDescent="0.25">
      <c r="A122" s="19"/>
      <c r="B122" s="19"/>
      <c r="C122" s="15"/>
      <c r="D122" s="3"/>
      <c r="E122" s="3">
        <v>7</v>
      </c>
      <c r="F122" s="3" t="s">
        <v>283</v>
      </c>
      <c r="G122" s="3" t="s">
        <v>276</v>
      </c>
    </row>
    <row r="123" spans="1:7" ht="15.75" x14ac:dyDescent="0.25">
      <c r="A123" s="19"/>
      <c r="B123" s="19"/>
      <c r="C123" s="15"/>
      <c r="D123" s="3"/>
      <c r="E123" s="3">
        <v>8</v>
      </c>
      <c r="F123" s="21" t="s">
        <v>284</v>
      </c>
      <c r="G123" s="3" t="s">
        <v>276</v>
      </c>
    </row>
    <row r="124" spans="1:7" ht="15.75" x14ac:dyDescent="0.25">
      <c r="A124" s="19"/>
      <c r="B124" s="19"/>
      <c r="C124" s="15"/>
      <c r="D124" s="3"/>
      <c r="E124" s="3">
        <v>9</v>
      </c>
      <c r="F124" s="21" t="s">
        <v>272</v>
      </c>
      <c r="G124" s="3" t="s">
        <v>276</v>
      </c>
    </row>
    <row r="125" spans="1:7" ht="15.75" x14ac:dyDescent="0.25">
      <c r="A125" s="19"/>
      <c r="B125" s="19"/>
      <c r="C125" s="15"/>
      <c r="D125" s="3"/>
      <c r="E125" s="3">
        <v>10</v>
      </c>
      <c r="F125" s="21" t="s">
        <v>273</v>
      </c>
      <c r="G125" s="3" t="s">
        <v>276</v>
      </c>
    </row>
    <row r="126" spans="1:7" ht="15" x14ac:dyDescent="0.25">
      <c r="A126" s="19"/>
      <c r="B126" s="19"/>
      <c r="C126" s="15"/>
      <c r="D126" s="3"/>
      <c r="E126" s="3">
        <v>11</v>
      </c>
      <c r="F126" s="3"/>
      <c r="G126" s="3"/>
    </row>
    <row r="127" spans="1:7" ht="15" x14ac:dyDescent="0.25">
      <c r="A127" s="19"/>
      <c r="B127" s="19"/>
      <c r="C127" s="15"/>
      <c r="D127" s="3"/>
      <c r="E127" s="3">
        <v>12</v>
      </c>
      <c r="F127" s="3"/>
      <c r="G127" s="3"/>
    </row>
    <row r="128" spans="1:7" ht="15" x14ac:dyDescent="0.25">
      <c r="A128" s="19"/>
      <c r="B128" s="19"/>
      <c r="C128" s="15"/>
      <c r="D128" s="3"/>
      <c r="E128" s="3">
        <v>13</v>
      </c>
      <c r="F128" s="3"/>
      <c r="G128" s="3"/>
    </row>
    <row r="129" spans="1:7" ht="15" x14ac:dyDescent="0.25">
      <c r="A129" s="19"/>
      <c r="B129" s="19"/>
      <c r="C129" s="15"/>
      <c r="D129" s="3"/>
      <c r="E129" s="3">
        <v>14</v>
      </c>
      <c r="F129" s="3"/>
      <c r="G129" s="3"/>
    </row>
    <row r="130" spans="1:7" ht="15" x14ac:dyDescent="0.25">
      <c r="A130" s="19"/>
      <c r="B130" s="19"/>
      <c r="C130" s="4"/>
      <c r="D130" s="3"/>
      <c r="E130" s="3">
        <v>15</v>
      </c>
      <c r="F130" s="3"/>
      <c r="G130" s="3"/>
    </row>
    <row r="131" spans="1:7" ht="15" x14ac:dyDescent="0.25">
      <c r="A131" s="19">
        <v>54</v>
      </c>
      <c r="B131" s="19" t="s">
        <v>231</v>
      </c>
      <c r="C131" s="4" t="s">
        <v>166</v>
      </c>
      <c r="D131" s="3" t="s">
        <v>51</v>
      </c>
      <c r="E131" s="3">
        <v>0</v>
      </c>
      <c r="F131" s="3" t="s">
        <v>78</v>
      </c>
      <c r="G131" s="3" t="s">
        <v>79</v>
      </c>
    </row>
    <row r="132" spans="1:7" ht="15" x14ac:dyDescent="0.25">
      <c r="A132" s="19"/>
      <c r="B132" s="19"/>
      <c r="C132" s="15"/>
      <c r="D132" s="3"/>
      <c r="E132" s="3">
        <v>1</v>
      </c>
      <c r="F132" s="3" t="s">
        <v>80</v>
      </c>
      <c r="G132" s="3" t="s">
        <v>79</v>
      </c>
    </row>
    <row r="133" spans="1:7" ht="15" x14ac:dyDescent="0.25">
      <c r="A133" s="19"/>
      <c r="B133" s="19"/>
      <c r="C133" s="15"/>
      <c r="D133" s="3"/>
      <c r="E133" s="3">
        <v>2</v>
      </c>
      <c r="F133" s="3" t="s">
        <v>81</v>
      </c>
      <c r="G133" s="3" t="s">
        <v>79</v>
      </c>
    </row>
    <row r="134" spans="1:7" ht="15" x14ac:dyDescent="0.25">
      <c r="A134" s="19"/>
      <c r="B134" s="19"/>
      <c r="C134" s="15"/>
      <c r="D134" s="3"/>
      <c r="E134" s="3">
        <v>3</v>
      </c>
      <c r="F134" s="3" t="s">
        <v>82</v>
      </c>
      <c r="G134" s="3" t="s">
        <v>79</v>
      </c>
    </row>
    <row r="135" spans="1:7" ht="15" x14ac:dyDescent="0.25">
      <c r="A135" s="19"/>
      <c r="B135" s="19"/>
      <c r="C135" s="15"/>
      <c r="D135" s="3"/>
      <c r="E135" s="3">
        <v>4</v>
      </c>
      <c r="F135" s="3" t="s">
        <v>83</v>
      </c>
      <c r="G135" s="3" t="s">
        <v>79</v>
      </c>
    </row>
    <row r="136" spans="1:7" ht="15" x14ac:dyDescent="0.25">
      <c r="A136" s="19"/>
      <c r="B136" s="19"/>
      <c r="C136" s="15"/>
      <c r="D136" s="3"/>
      <c r="E136" s="3">
        <v>5</v>
      </c>
      <c r="F136" s="3" t="s">
        <v>84</v>
      </c>
      <c r="G136" s="3" t="s">
        <v>79</v>
      </c>
    </row>
    <row r="137" spans="1:7" ht="15" x14ac:dyDescent="0.25">
      <c r="A137" s="19"/>
      <c r="B137" s="19"/>
      <c r="C137" s="15"/>
      <c r="D137" s="3"/>
      <c r="E137" s="3">
        <v>6</v>
      </c>
      <c r="F137" s="3" t="s">
        <v>85</v>
      </c>
      <c r="G137" s="3" t="s">
        <v>79</v>
      </c>
    </row>
    <row r="138" spans="1:7" ht="15" x14ac:dyDescent="0.25">
      <c r="A138" s="19"/>
      <c r="B138" s="19"/>
      <c r="C138" s="15"/>
      <c r="D138" s="3"/>
      <c r="E138" s="3">
        <v>7</v>
      </c>
      <c r="F138" s="3" t="s">
        <v>86</v>
      </c>
      <c r="G138" s="3" t="s">
        <v>79</v>
      </c>
    </row>
    <row r="139" spans="1:7" ht="15.75" x14ac:dyDescent="0.25">
      <c r="A139" s="19"/>
      <c r="B139" s="19"/>
      <c r="C139" s="15"/>
      <c r="D139" s="3"/>
      <c r="E139" s="3">
        <v>8</v>
      </c>
      <c r="F139" s="21" t="s">
        <v>285</v>
      </c>
      <c r="G139" s="3" t="s">
        <v>79</v>
      </c>
    </row>
    <row r="140" spans="1:7" ht="15.75" x14ac:dyDescent="0.25">
      <c r="A140" s="19"/>
      <c r="B140" s="19"/>
      <c r="C140" s="15"/>
      <c r="D140" s="3"/>
      <c r="E140" s="3">
        <v>9</v>
      </c>
      <c r="F140" s="21" t="s">
        <v>286</v>
      </c>
      <c r="G140" s="3" t="s">
        <v>79</v>
      </c>
    </row>
    <row r="141" spans="1:7" ht="15.75" x14ac:dyDescent="0.25">
      <c r="A141" s="19"/>
      <c r="B141" s="19"/>
      <c r="C141" s="15"/>
      <c r="D141" s="3"/>
      <c r="E141" s="3">
        <v>10</v>
      </c>
      <c r="F141" s="21" t="s">
        <v>287</v>
      </c>
      <c r="G141" s="3" t="s">
        <v>79</v>
      </c>
    </row>
    <row r="142" spans="1:7" ht="15" x14ac:dyDescent="0.25">
      <c r="A142" s="19"/>
      <c r="B142" s="19"/>
      <c r="C142" s="15"/>
      <c r="D142" s="3"/>
      <c r="E142" s="3">
        <v>11</v>
      </c>
      <c r="F142" s="3"/>
      <c r="G142" s="3"/>
    </row>
    <row r="143" spans="1:7" ht="15" x14ac:dyDescent="0.25">
      <c r="A143" s="19"/>
      <c r="B143" s="19"/>
      <c r="C143" s="4"/>
      <c r="D143" s="3"/>
      <c r="E143" s="3">
        <v>12</v>
      </c>
      <c r="F143" s="3"/>
      <c r="G143" s="3"/>
    </row>
    <row r="144" spans="1:7" ht="15" x14ac:dyDescent="0.25">
      <c r="A144" s="19"/>
      <c r="B144" s="19"/>
      <c r="C144" s="4"/>
      <c r="D144" s="3"/>
      <c r="E144" s="3">
        <v>13</v>
      </c>
      <c r="F144" s="3"/>
      <c r="G144" s="3"/>
    </row>
    <row r="145" spans="1:7" ht="15" x14ac:dyDescent="0.25">
      <c r="A145" s="19"/>
      <c r="B145" s="19"/>
      <c r="C145" s="4"/>
      <c r="D145" s="3"/>
      <c r="E145" s="3">
        <v>14</v>
      </c>
      <c r="F145" s="3"/>
      <c r="G145" s="3"/>
    </row>
    <row r="146" spans="1:7" ht="15" x14ac:dyDescent="0.25">
      <c r="A146" s="19"/>
      <c r="B146" s="19"/>
      <c r="C146" s="4"/>
      <c r="D146" s="3"/>
      <c r="E146" s="3">
        <v>15</v>
      </c>
      <c r="F146" s="3"/>
      <c r="G146" s="3"/>
    </row>
    <row r="147" spans="1:7" ht="15" x14ac:dyDescent="0.25">
      <c r="A147" s="19">
        <v>55</v>
      </c>
      <c r="B147" s="19" t="s">
        <v>231</v>
      </c>
      <c r="C147" s="4" t="s">
        <v>165</v>
      </c>
      <c r="D147" s="3" t="s">
        <v>52</v>
      </c>
      <c r="E147" s="3">
        <v>0</v>
      </c>
      <c r="F147" s="3" t="s">
        <v>87</v>
      </c>
      <c r="G147" s="3" t="s">
        <v>288</v>
      </c>
    </row>
    <row r="148" spans="1:7" ht="15" x14ac:dyDescent="0.25">
      <c r="A148" s="19"/>
      <c r="B148" s="19"/>
      <c r="C148" s="15"/>
      <c r="D148" s="3"/>
      <c r="E148" s="3">
        <v>1</v>
      </c>
      <c r="F148" s="3" t="s">
        <v>88</v>
      </c>
      <c r="G148" s="3" t="s">
        <v>288</v>
      </c>
    </row>
    <row r="149" spans="1:7" ht="15" x14ac:dyDescent="0.25">
      <c r="A149" s="19"/>
      <c r="B149" s="19"/>
      <c r="C149" s="15"/>
      <c r="D149" s="3"/>
      <c r="E149" s="3">
        <v>2</v>
      </c>
      <c r="F149" s="3" t="s">
        <v>89</v>
      </c>
      <c r="G149" s="3" t="s">
        <v>288</v>
      </c>
    </row>
    <row r="150" spans="1:7" ht="15" x14ac:dyDescent="0.25">
      <c r="A150" s="19"/>
      <c r="B150" s="19"/>
      <c r="C150" s="15"/>
      <c r="D150" s="3"/>
      <c r="E150" s="3">
        <v>3</v>
      </c>
      <c r="F150" s="3" t="s">
        <v>90</v>
      </c>
      <c r="G150" s="3" t="s">
        <v>288</v>
      </c>
    </row>
    <row r="151" spans="1:7" ht="15" x14ac:dyDescent="0.25">
      <c r="A151" s="19"/>
      <c r="B151" s="19"/>
      <c r="C151" s="15"/>
      <c r="D151" s="3"/>
      <c r="E151" s="3">
        <v>4</v>
      </c>
      <c r="F151" s="3" t="s">
        <v>91</v>
      </c>
      <c r="G151" s="3" t="s">
        <v>288</v>
      </c>
    </row>
    <row r="152" spans="1:7" ht="15" x14ac:dyDescent="0.25">
      <c r="A152" s="19"/>
      <c r="B152" s="19"/>
      <c r="C152" s="15"/>
      <c r="D152" s="3"/>
      <c r="E152" s="3">
        <v>5</v>
      </c>
      <c r="F152" s="3" t="s">
        <v>92</v>
      </c>
      <c r="G152" s="3" t="s">
        <v>288</v>
      </c>
    </row>
    <row r="153" spans="1:7" ht="15" x14ac:dyDescent="0.25">
      <c r="A153" s="19"/>
      <c r="B153" s="19"/>
      <c r="C153" s="15"/>
      <c r="D153" s="3"/>
      <c r="E153" s="3">
        <v>6</v>
      </c>
      <c r="F153" s="3" t="s">
        <v>93</v>
      </c>
      <c r="G153" s="3" t="s">
        <v>288</v>
      </c>
    </row>
    <row r="154" spans="1:7" ht="15" x14ac:dyDescent="0.25">
      <c r="A154" s="19"/>
      <c r="B154" s="19"/>
      <c r="C154" s="15"/>
      <c r="D154" s="3"/>
      <c r="E154" s="3">
        <v>7</v>
      </c>
      <c r="F154" s="3" t="s">
        <v>94</v>
      </c>
      <c r="G154" s="3" t="s">
        <v>288</v>
      </c>
    </row>
    <row r="155" spans="1:7" ht="15.75" x14ac:dyDescent="0.25">
      <c r="A155" s="19"/>
      <c r="B155" s="19"/>
      <c r="C155" s="15"/>
      <c r="D155" s="3"/>
      <c r="E155" s="3">
        <v>8</v>
      </c>
      <c r="F155" s="21" t="s">
        <v>289</v>
      </c>
      <c r="G155" s="3" t="s">
        <v>288</v>
      </c>
    </row>
    <row r="156" spans="1:7" ht="15.75" x14ac:dyDescent="0.25">
      <c r="A156" s="19"/>
      <c r="B156" s="19"/>
      <c r="C156" s="15"/>
      <c r="D156" s="3"/>
      <c r="E156" s="3">
        <v>9</v>
      </c>
      <c r="F156" s="21" t="s">
        <v>290</v>
      </c>
      <c r="G156" s="3" t="s">
        <v>288</v>
      </c>
    </row>
    <row r="157" spans="1:7" ht="15.75" x14ac:dyDescent="0.25">
      <c r="A157" s="19"/>
      <c r="B157" s="19"/>
      <c r="C157" s="15"/>
      <c r="D157" s="3"/>
      <c r="E157" s="3">
        <v>10</v>
      </c>
      <c r="F157" s="21" t="s">
        <v>291</v>
      </c>
      <c r="G157" s="3" t="s">
        <v>288</v>
      </c>
    </row>
    <row r="158" spans="1:7" ht="15" x14ac:dyDescent="0.25">
      <c r="A158" s="19"/>
      <c r="B158" s="19"/>
      <c r="C158" s="4"/>
      <c r="D158" s="3"/>
      <c r="E158" s="3">
        <v>11</v>
      </c>
      <c r="F158" s="3"/>
      <c r="G158" s="3"/>
    </row>
    <row r="159" spans="1:7" ht="15" x14ac:dyDescent="0.25">
      <c r="A159" s="19"/>
      <c r="B159" s="19"/>
      <c r="C159" s="4"/>
      <c r="D159" s="3"/>
      <c r="E159" s="3">
        <v>12</v>
      </c>
      <c r="F159" s="3"/>
      <c r="G159" s="3"/>
    </row>
    <row r="160" spans="1:7" ht="15" x14ac:dyDescent="0.25">
      <c r="A160" s="19"/>
      <c r="B160" s="19"/>
      <c r="C160" s="4"/>
      <c r="D160" s="3"/>
      <c r="E160" s="3">
        <v>13</v>
      </c>
      <c r="F160" s="3"/>
      <c r="G160" s="3"/>
    </row>
    <row r="161" spans="1:7" ht="15" x14ac:dyDescent="0.25">
      <c r="A161" s="19"/>
      <c r="B161" s="19"/>
      <c r="C161" s="4"/>
      <c r="D161" s="3"/>
      <c r="E161" s="3">
        <v>14</v>
      </c>
      <c r="F161" s="3"/>
      <c r="G161" s="3"/>
    </row>
    <row r="162" spans="1:7" ht="15" x14ac:dyDescent="0.25">
      <c r="A162" s="19"/>
      <c r="B162" s="19"/>
      <c r="C162" s="4"/>
      <c r="D162" s="3"/>
      <c r="E162" s="3">
        <v>15</v>
      </c>
      <c r="F162" s="3"/>
      <c r="G162" s="3"/>
    </row>
    <row r="163" spans="1:7" ht="15" x14ac:dyDescent="0.25">
      <c r="A163" s="19">
        <v>56</v>
      </c>
      <c r="B163" s="19" t="s">
        <v>231</v>
      </c>
      <c r="C163" s="4" t="s">
        <v>169</v>
      </c>
      <c r="D163" s="3" t="s">
        <v>37</v>
      </c>
      <c r="E163" s="3">
        <v>0</v>
      </c>
      <c r="F163" s="3" t="s">
        <v>95</v>
      </c>
      <c r="G163" s="3" t="s">
        <v>96</v>
      </c>
    </row>
    <row r="164" spans="1:7" ht="15" x14ac:dyDescent="0.25">
      <c r="A164" s="19"/>
      <c r="B164" s="19"/>
      <c r="C164" s="15"/>
      <c r="D164" s="3"/>
      <c r="E164" s="3">
        <v>1</v>
      </c>
      <c r="F164" s="3" t="s">
        <v>97</v>
      </c>
      <c r="G164" s="3" t="s">
        <v>96</v>
      </c>
    </row>
    <row r="165" spans="1:7" ht="15" x14ac:dyDescent="0.25">
      <c r="A165" s="19"/>
      <c r="B165" s="19"/>
      <c r="C165" s="15"/>
      <c r="D165" s="3"/>
      <c r="E165" s="3">
        <v>2</v>
      </c>
      <c r="F165" s="3" t="s">
        <v>98</v>
      </c>
      <c r="G165" s="3" t="s">
        <v>96</v>
      </c>
    </row>
    <row r="166" spans="1:7" ht="15" x14ac:dyDescent="0.25">
      <c r="A166" s="19"/>
      <c r="B166" s="19"/>
      <c r="C166" s="15"/>
      <c r="D166" s="3"/>
      <c r="E166" s="3">
        <v>3</v>
      </c>
      <c r="F166" s="3" t="s">
        <v>99</v>
      </c>
      <c r="G166" s="3" t="s">
        <v>96</v>
      </c>
    </row>
    <row r="167" spans="1:7" ht="15" x14ac:dyDescent="0.25">
      <c r="A167" s="19"/>
      <c r="B167" s="19"/>
      <c r="C167" s="15"/>
      <c r="D167" s="3"/>
      <c r="E167" s="3">
        <v>4</v>
      </c>
      <c r="F167" s="3" t="s">
        <v>100</v>
      </c>
      <c r="G167" s="3" t="s">
        <v>96</v>
      </c>
    </row>
    <row r="168" spans="1:7" ht="15" x14ac:dyDescent="0.25">
      <c r="A168" s="19"/>
      <c r="B168" s="19"/>
      <c r="C168" s="15"/>
      <c r="D168" s="3"/>
      <c r="E168" s="3">
        <v>5</v>
      </c>
      <c r="F168" s="3" t="s">
        <v>101</v>
      </c>
      <c r="G168" s="3" t="s">
        <v>96</v>
      </c>
    </row>
    <row r="169" spans="1:7" ht="15" x14ac:dyDescent="0.25">
      <c r="A169" s="19"/>
      <c r="B169" s="19"/>
      <c r="C169" s="15"/>
      <c r="D169" s="3"/>
      <c r="E169" s="3">
        <v>6</v>
      </c>
      <c r="F169" s="3" t="s">
        <v>102</v>
      </c>
      <c r="G169" s="3" t="s">
        <v>96</v>
      </c>
    </row>
    <row r="170" spans="1:7" ht="15" x14ac:dyDescent="0.25">
      <c r="A170" s="19"/>
      <c r="B170" s="19"/>
      <c r="C170" s="15"/>
      <c r="D170" s="3"/>
      <c r="E170" s="3">
        <v>7</v>
      </c>
      <c r="F170" s="3" t="s">
        <v>103</v>
      </c>
      <c r="G170" s="3" t="s">
        <v>96</v>
      </c>
    </row>
    <row r="171" spans="1:7" ht="15.75" x14ac:dyDescent="0.25">
      <c r="A171" s="19"/>
      <c r="B171" s="19"/>
      <c r="C171" s="15"/>
      <c r="D171" s="3"/>
      <c r="E171" s="3">
        <v>8</v>
      </c>
      <c r="F171" s="21" t="s">
        <v>292</v>
      </c>
      <c r="G171" s="3" t="s">
        <v>96</v>
      </c>
    </row>
    <row r="172" spans="1:7" ht="15.75" x14ac:dyDescent="0.25">
      <c r="A172" s="19"/>
      <c r="B172" s="19"/>
      <c r="C172" s="15"/>
      <c r="D172" s="3"/>
      <c r="E172" s="3">
        <v>9</v>
      </c>
      <c r="F172" s="21" t="s">
        <v>293</v>
      </c>
      <c r="G172" s="3" t="s">
        <v>96</v>
      </c>
    </row>
    <row r="173" spans="1:7" ht="15.75" x14ac:dyDescent="0.25">
      <c r="A173" s="19"/>
      <c r="B173" s="19"/>
      <c r="C173" s="4"/>
      <c r="D173" s="3"/>
      <c r="E173" s="3">
        <v>10</v>
      </c>
      <c r="F173" s="21" t="s">
        <v>294</v>
      </c>
      <c r="G173" s="3" t="s">
        <v>96</v>
      </c>
    </row>
    <row r="174" spans="1:7" ht="15" x14ac:dyDescent="0.25">
      <c r="A174" s="19"/>
      <c r="B174" s="19"/>
      <c r="C174" s="4"/>
      <c r="D174" s="3"/>
      <c r="E174" s="3">
        <v>11</v>
      </c>
      <c r="F174" s="3"/>
      <c r="G174" s="3"/>
    </row>
    <row r="175" spans="1:7" ht="15" x14ac:dyDescent="0.25">
      <c r="A175" s="19"/>
      <c r="B175" s="19"/>
      <c r="C175" s="4"/>
      <c r="D175" s="3"/>
      <c r="E175" s="3">
        <v>12</v>
      </c>
      <c r="F175" s="3"/>
      <c r="G175" s="3"/>
    </row>
    <row r="176" spans="1:7" ht="15" x14ac:dyDescent="0.25">
      <c r="A176" s="19"/>
      <c r="B176" s="19"/>
      <c r="C176" s="4"/>
      <c r="D176" s="3"/>
      <c r="E176" s="3">
        <v>13</v>
      </c>
      <c r="F176" s="3"/>
      <c r="G176" s="3"/>
    </row>
    <row r="177" spans="1:7" ht="15" x14ac:dyDescent="0.25">
      <c r="A177" s="19"/>
      <c r="B177" s="19"/>
      <c r="C177" s="4"/>
      <c r="D177" s="3"/>
      <c r="E177" s="3">
        <v>14</v>
      </c>
      <c r="F177" s="3"/>
      <c r="G177" s="3"/>
    </row>
    <row r="178" spans="1:7" ht="15" x14ac:dyDescent="0.25">
      <c r="A178" s="19"/>
      <c r="B178" s="19"/>
      <c r="C178" s="4"/>
      <c r="D178" s="3"/>
      <c r="E178" s="3">
        <v>15</v>
      </c>
      <c r="F178" s="3"/>
      <c r="G178" s="3"/>
    </row>
    <row r="179" spans="1:7" ht="15" x14ac:dyDescent="0.25">
      <c r="A179" s="19">
        <v>57</v>
      </c>
      <c r="B179" s="19" t="s">
        <v>231</v>
      </c>
      <c r="C179" s="4" t="s">
        <v>170</v>
      </c>
      <c r="D179" s="3" t="s">
        <v>38</v>
      </c>
      <c r="E179" s="3">
        <v>0</v>
      </c>
      <c r="F179" s="3" t="s">
        <v>104</v>
      </c>
      <c r="G179" s="3" t="s">
        <v>295</v>
      </c>
    </row>
    <row r="180" spans="1:7" ht="15" x14ac:dyDescent="0.25">
      <c r="A180" s="19"/>
      <c r="B180" s="19"/>
      <c r="C180" s="15"/>
      <c r="D180" s="3"/>
      <c r="E180" s="3">
        <v>1</v>
      </c>
      <c r="F180" s="3" t="s">
        <v>105</v>
      </c>
      <c r="G180" s="3" t="s">
        <v>295</v>
      </c>
    </row>
    <row r="181" spans="1:7" ht="15" x14ac:dyDescent="0.25">
      <c r="A181" s="19"/>
      <c r="B181" s="19"/>
      <c r="C181" s="15"/>
      <c r="D181" s="3"/>
      <c r="E181" s="3">
        <v>2</v>
      </c>
      <c r="F181" s="3" t="s">
        <v>106</v>
      </c>
      <c r="G181" s="3" t="s">
        <v>295</v>
      </c>
    </row>
    <row r="182" spans="1:7" ht="15" x14ac:dyDescent="0.25">
      <c r="A182" s="19"/>
      <c r="B182" s="19"/>
      <c r="C182" s="15"/>
      <c r="D182" s="3"/>
      <c r="E182" s="3">
        <v>3</v>
      </c>
      <c r="F182" s="3" t="s">
        <v>107</v>
      </c>
      <c r="G182" s="3" t="s">
        <v>295</v>
      </c>
    </row>
    <row r="183" spans="1:7" ht="15" x14ac:dyDescent="0.25">
      <c r="A183" s="19"/>
      <c r="B183" s="19"/>
      <c r="C183" s="15"/>
      <c r="D183" s="3"/>
      <c r="E183" s="3">
        <v>4</v>
      </c>
      <c r="F183" s="3" t="s">
        <v>108</v>
      </c>
      <c r="G183" s="3" t="s">
        <v>295</v>
      </c>
    </row>
    <row r="184" spans="1:7" ht="15" x14ac:dyDescent="0.25">
      <c r="A184" s="19"/>
      <c r="B184" s="19"/>
      <c r="C184" s="15"/>
      <c r="D184" s="3"/>
      <c r="E184" s="3">
        <v>5</v>
      </c>
      <c r="F184" s="3" t="s">
        <v>109</v>
      </c>
      <c r="G184" s="3" t="s">
        <v>295</v>
      </c>
    </row>
    <row r="185" spans="1:7" ht="15" x14ac:dyDescent="0.25">
      <c r="A185" s="19"/>
      <c r="B185" s="19"/>
      <c r="C185" s="15"/>
      <c r="D185" s="3"/>
      <c r="E185" s="3">
        <v>6</v>
      </c>
      <c r="F185" s="3" t="s">
        <v>110</v>
      </c>
      <c r="G185" s="3" t="s">
        <v>295</v>
      </c>
    </row>
    <row r="186" spans="1:7" ht="15" x14ac:dyDescent="0.25">
      <c r="A186" s="19"/>
      <c r="B186" s="19"/>
      <c r="C186" s="15"/>
      <c r="D186" s="3"/>
      <c r="E186" s="3">
        <v>7</v>
      </c>
      <c r="F186" s="3" t="s">
        <v>111</v>
      </c>
      <c r="G186" s="3" t="s">
        <v>295</v>
      </c>
    </row>
    <row r="187" spans="1:7" ht="15.75" x14ac:dyDescent="0.25">
      <c r="A187" s="19"/>
      <c r="B187" s="19"/>
      <c r="C187" s="15"/>
      <c r="D187" s="3"/>
      <c r="E187" s="3">
        <v>8</v>
      </c>
      <c r="F187" s="21" t="s">
        <v>296</v>
      </c>
      <c r="G187" s="3" t="s">
        <v>295</v>
      </c>
    </row>
    <row r="188" spans="1:7" ht="15.75" x14ac:dyDescent="0.25">
      <c r="A188" s="19"/>
      <c r="B188" s="19"/>
      <c r="C188" s="4"/>
      <c r="D188" s="3"/>
      <c r="E188" s="3">
        <v>9</v>
      </c>
      <c r="F188" s="21" t="s">
        <v>297</v>
      </c>
      <c r="G188" s="3" t="s">
        <v>295</v>
      </c>
    </row>
    <row r="189" spans="1:7" ht="15.75" x14ac:dyDescent="0.25">
      <c r="A189" s="19"/>
      <c r="B189" s="19"/>
      <c r="C189" s="4"/>
      <c r="D189" s="3"/>
      <c r="E189" s="3">
        <v>10</v>
      </c>
      <c r="F189" s="21" t="s">
        <v>298</v>
      </c>
      <c r="G189" s="3" t="s">
        <v>295</v>
      </c>
    </row>
    <row r="190" spans="1:7" ht="15" x14ac:dyDescent="0.25">
      <c r="A190" s="19"/>
      <c r="B190" s="19"/>
      <c r="C190" s="4"/>
      <c r="D190" s="3"/>
      <c r="E190" s="3">
        <v>11</v>
      </c>
      <c r="F190" s="3"/>
      <c r="G190" s="3"/>
    </row>
    <row r="191" spans="1:7" ht="15" x14ac:dyDescent="0.25">
      <c r="A191" s="19"/>
      <c r="B191" s="19"/>
      <c r="C191" s="4"/>
      <c r="D191" s="3"/>
      <c r="E191" s="3">
        <v>12</v>
      </c>
      <c r="F191" s="3"/>
      <c r="G191" s="3"/>
    </row>
    <row r="192" spans="1:7" ht="15" x14ac:dyDescent="0.25">
      <c r="A192" s="19"/>
      <c r="B192" s="19"/>
      <c r="C192" s="4"/>
      <c r="D192" s="3"/>
      <c r="E192" s="3">
        <v>13</v>
      </c>
      <c r="F192" s="3"/>
      <c r="G192" s="3"/>
    </row>
    <row r="193" spans="1:7" ht="15" x14ac:dyDescent="0.25">
      <c r="A193" s="19"/>
      <c r="B193" s="19"/>
      <c r="C193" s="4"/>
      <c r="D193" s="3"/>
      <c r="E193" s="3">
        <v>14</v>
      </c>
      <c r="F193" s="3"/>
      <c r="G193" s="3"/>
    </row>
    <row r="194" spans="1:7" ht="15" x14ac:dyDescent="0.25">
      <c r="A194" s="19"/>
      <c r="B194" s="19"/>
      <c r="C194" s="4"/>
      <c r="D194" s="3"/>
      <c r="E194" s="3">
        <v>15</v>
      </c>
      <c r="F194" s="3"/>
      <c r="G194" s="3"/>
    </row>
    <row r="195" spans="1:7" ht="15" x14ac:dyDescent="0.25">
      <c r="A195" s="19">
        <v>58</v>
      </c>
      <c r="B195" s="19" t="s">
        <v>231</v>
      </c>
      <c r="C195" s="4" t="s">
        <v>171</v>
      </c>
      <c r="D195" s="3" t="s">
        <v>35</v>
      </c>
      <c r="E195" s="3">
        <v>0</v>
      </c>
      <c r="F195" s="3" t="s">
        <v>112</v>
      </c>
      <c r="G195" s="3" t="s">
        <v>299</v>
      </c>
    </row>
    <row r="196" spans="1:7" ht="15" x14ac:dyDescent="0.25">
      <c r="A196" s="19"/>
      <c r="B196" s="19"/>
      <c r="C196" s="15"/>
      <c r="D196" s="3"/>
      <c r="E196" s="3">
        <v>1</v>
      </c>
      <c r="F196" s="3" t="s">
        <v>113</v>
      </c>
      <c r="G196" s="3" t="s">
        <v>299</v>
      </c>
    </row>
    <row r="197" spans="1:7" ht="15" x14ac:dyDescent="0.25">
      <c r="A197" s="19"/>
      <c r="B197" s="19"/>
      <c r="C197" s="15"/>
      <c r="D197" s="3"/>
      <c r="E197" s="3">
        <v>2</v>
      </c>
      <c r="F197" s="3" t="s">
        <v>114</v>
      </c>
      <c r="G197" s="3" t="s">
        <v>299</v>
      </c>
    </row>
    <row r="198" spans="1:7" ht="15" x14ac:dyDescent="0.25">
      <c r="A198" s="19"/>
      <c r="B198" s="19"/>
      <c r="C198" s="15"/>
      <c r="D198" s="3"/>
      <c r="E198" s="3">
        <v>3</v>
      </c>
      <c r="F198" s="3" t="s">
        <v>115</v>
      </c>
      <c r="G198" s="3" t="s">
        <v>299</v>
      </c>
    </row>
    <row r="199" spans="1:7" ht="15" x14ac:dyDescent="0.25">
      <c r="A199" s="19"/>
      <c r="B199" s="19"/>
      <c r="C199" s="15"/>
      <c r="D199" s="3"/>
      <c r="E199" s="3">
        <v>4</v>
      </c>
      <c r="F199" s="3" t="s">
        <v>116</v>
      </c>
      <c r="G199" s="3" t="s">
        <v>299</v>
      </c>
    </row>
    <row r="200" spans="1:7" ht="15" x14ac:dyDescent="0.25">
      <c r="A200" s="19"/>
      <c r="B200" s="19"/>
      <c r="C200" s="15"/>
      <c r="D200" s="3"/>
      <c r="E200" s="3">
        <v>5</v>
      </c>
      <c r="F200" s="3" t="s">
        <v>117</v>
      </c>
      <c r="G200" s="3" t="s">
        <v>299</v>
      </c>
    </row>
    <row r="201" spans="1:7" ht="15" x14ac:dyDescent="0.25">
      <c r="A201" s="19"/>
      <c r="B201" s="19"/>
      <c r="C201" s="15"/>
      <c r="D201" s="3"/>
      <c r="E201" s="3">
        <v>6</v>
      </c>
      <c r="F201" s="3" t="s">
        <v>118</v>
      </c>
      <c r="G201" s="3" t="s">
        <v>299</v>
      </c>
    </row>
    <row r="202" spans="1:7" ht="15" x14ac:dyDescent="0.25">
      <c r="A202" s="19"/>
      <c r="B202" s="19"/>
      <c r="C202" s="15"/>
      <c r="D202" s="3"/>
      <c r="E202" s="3">
        <v>7</v>
      </c>
      <c r="F202" s="3" t="s">
        <v>119</v>
      </c>
      <c r="G202" s="3" t="s">
        <v>299</v>
      </c>
    </row>
    <row r="203" spans="1:7" ht="15.75" x14ac:dyDescent="0.25">
      <c r="A203" s="19"/>
      <c r="B203" s="19"/>
      <c r="C203" s="4"/>
      <c r="D203" s="3"/>
      <c r="E203" s="3">
        <v>8</v>
      </c>
      <c r="F203" s="21" t="s">
        <v>300</v>
      </c>
      <c r="G203" s="3" t="s">
        <v>299</v>
      </c>
    </row>
    <row r="204" spans="1:7" ht="15.75" x14ac:dyDescent="0.25">
      <c r="A204" s="19"/>
      <c r="B204" s="19"/>
      <c r="C204" s="4"/>
      <c r="D204" s="3"/>
      <c r="E204" s="3">
        <v>9</v>
      </c>
      <c r="F204" s="21" t="s">
        <v>301</v>
      </c>
      <c r="G204" s="3" t="s">
        <v>299</v>
      </c>
    </row>
    <row r="205" spans="1:7" ht="15.75" x14ac:dyDescent="0.25">
      <c r="A205" s="19"/>
      <c r="B205" s="19"/>
      <c r="C205" s="4"/>
      <c r="D205" s="3"/>
      <c r="E205" s="3">
        <v>10</v>
      </c>
      <c r="F205" s="21" t="s">
        <v>302</v>
      </c>
      <c r="G205" s="3" t="s">
        <v>299</v>
      </c>
    </row>
    <row r="206" spans="1:7" ht="15" x14ac:dyDescent="0.25">
      <c r="A206" s="19"/>
      <c r="B206" s="19"/>
      <c r="C206" s="4"/>
      <c r="D206" s="3"/>
      <c r="E206" s="3">
        <v>11</v>
      </c>
      <c r="F206" s="3"/>
      <c r="G206" s="3"/>
    </row>
    <row r="207" spans="1:7" ht="15" x14ac:dyDescent="0.25">
      <c r="A207" s="19"/>
      <c r="B207" s="19"/>
      <c r="C207" s="4"/>
      <c r="D207" s="3"/>
      <c r="E207" s="3">
        <v>12</v>
      </c>
      <c r="F207" s="3"/>
      <c r="G207" s="3"/>
    </row>
    <row r="208" spans="1:7" ht="15" x14ac:dyDescent="0.25">
      <c r="A208" s="19"/>
      <c r="B208" s="19"/>
      <c r="C208" s="4"/>
      <c r="D208" s="3"/>
      <c r="E208" s="3">
        <v>13</v>
      </c>
      <c r="F208" s="3"/>
      <c r="G208" s="3"/>
    </row>
    <row r="209" spans="1:7" ht="15" x14ac:dyDescent="0.25">
      <c r="A209" s="19"/>
      <c r="B209" s="19"/>
      <c r="C209" s="4"/>
      <c r="D209" s="3"/>
      <c r="E209" s="3">
        <v>14</v>
      </c>
      <c r="F209" s="3"/>
      <c r="G209" s="3"/>
    </row>
    <row r="210" spans="1:7" ht="15" x14ac:dyDescent="0.25">
      <c r="A210" s="19"/>
      <c r="B210" s="19"/>
      <c r="C210" s="4"/>
      <c r="D210" s="3"/>
      <c r="E210" s="3">
        <v>15</v>
      </c>
      <c r="F210" s="3"/>
      <c r="G210" s="3"/>
    </row>
    <row r="211" spans="1:7" ht="15" x14ac:dyDescent="0.25">
      <c r="A211" s="19">
        <v>59</v>
      </c>
      <c r="B211" s="19" t="s">
        <v>246</v>
      </c>
      <c r="C211" s="15" t="s">
        <v>175</v>
      </c>
      <c r="D211" s="20" t="s">
        <v>178</v>
      </c>
      <c r="E211" s="3">
        <v>0</v>
      </c>
      <c r="F211" s="20" t="s">
        <v>303</v>
      </c>
      <c r="G211" s="20" t="s">
        <v>79</v>
      </c>
    </row>
    <row r="212" spans="1:7" ht="15" x14ac:dyDescent="0.25">
      <c r="A212" s="19"/>
      <c r="B212" s="19"/>
      <c r="C212" s="15"/>
      <c r="D212" s="20"/>
      <c r="E212" s="3">
        <v>1</v>
      </c>
      <c r="F212" s="20" t="s">
        <v>304</v>
      </c>
      <c r="G212" s="20" t="s">
        <v>79</v>
      </c>
    </row>
    <row r="213" spans="1:7" ht="15" x14ac:dyDescent="0.25">
      <c r="A213" s="19"/>
      <c r="B213" s="19"/>
      <c r="C213" s="15"/>
      <c r="D213" s="20"/>
      <c r="E213" s="3">
        <v>2</v>
      </c>
      <c r="F213" s="20" t="s">
        <v>305</v>
      </c>
      <c r="G213" s="20" t="s">
        <v>79</v>
      </c>
    </row>
    <row r="214" spans="1:7" ht="15" x14ac:dyDescent="0.25">
      <c r="A214" s="19"/>
      <c r="B214" s="19"/>
      <c r="C214" s="15"/>
      <c r="D214" s="20"/>
      <c r="E214" s="3">
        <v>3</v>
      </c>
      <c r="F214" s="20" t="s">
        <v>306</v>
      </c>
      <c r="G214" s="20" t="s">
        <v>79</v>
      </c>
    </row>
    <row r="215" spans="1:7" ht="15" x14ac:dyDescent="0.25">
      <c r="A215" s="19"/>
      <c r="B215" s="19"/>
      <c r="C215" s="15"/>
      <c r="D215" s="20"/>
      <c r="E215" s="3">
        <v>4</v>
      </c>
      <c r="F215" s="20" t="s">
        <v>307</v>
      </c>
      <c r="G215" s="20" t="s">
        <v>79</v>
      </c>
    </row>
    <row r="216" spans="1:7" ht="15" x14ac:dyDescent="0.25">
      <c r="A216" s="19"/>
      <c r="B216" s="19"/>
      <c r="C216" s="15"/>
      <c r="D216" s="20"/>
      <c r="E216" s="3">
        <v>5</v>
      </c>
      <c r="F216" s="20" t="s">
        <v>308</v>
      </c>
      <c r="G216" s="23" t="s">
        <v>309</v>
      </c>
    </row>
    <row r="217" spans="1:7" ht="15" x14ac:dyDescent="0.25">
      <c r="A217" s="19"/>
      <c r="B217" s="19"/>
      <c r="C217" s="15"/>
      <c r="D217" s="20"/>
      <c r="E217" s="3">
        <v>6</v>
      </c>
      <c r="F217" s="20" t="s">
        <v>310</v>
      </c>
      <c r="G217" s="23" t="s">
        <v>311</v>
      </c>
    </row>
    <row r="218" spans="1:7" ht="15" x14ac:dyDescent="0.25">
      <c r="A218" s="19"/>
      <c r="B218" s="19"/>
      <c r="C218" s="15"/>
      <c r="D218" s="20"/>
      <c r="E218" s="3">
        <v>7</v>
      </c>
      <c r="F218" s="20" t="s">
        <v>312</v>
      </c>
      <c r="G218" s="23" t="s">
        <v>313</v>
      </c>
    </row>
    <row r="219" spans="1:7" ht="15" x14ac:dyDescent="0.25">
      <c r="A219" s="19"/>
      <c r="B219" s="19"/>
      <c r="C219" s="15"/>
      <c r="D219" s="20"/>
      <c r="E219" s="3">
        <v>8</v>
      </c>
      <c r="F219" s="20" t="s">
        <v>314</v>
      </c>
      <c r="G219" s="23" t="s">
        <v>315</v>
      </c>
    </row>
    <row r="220" spans="1:7" ht="15" x14ac:dyDescent="0.25">
      <c r="A220" s="19"/>
      <c r="B220" s="19"/>
      <c r="C220" s="15"/>
      <c r="D220" s="20"/>
      <c r="E220" s="3">
        <v>9</v>
      </c>
      <c r="F220" s="20" t="s">
        <v>316</v>
      </c>
      <c r="G220" s="23" t="s">
        <v>317</v>
      </c>
    </row>
    <row r="221" spans="1:7" ht="15" x14ac:dyDescent="0.25">
      <c r="A221" s="19"/>
      <c r="B221" s="19"/>
      <c r="C221" s="15"/>
      <c r="D221" s="20"/>
      <c r="E221" s="3">
        <v>10</v>
      </c>
      <c r="F221" s="20"/>
      <c r="G221" s="20"/>
    </row>
    <row r="222" spans="1:7" ht="15" x14ac:dyDescent="0.25">
      <c r="A222" s="19"/>
      <c r="B222" s="19"/>
      <c r="C222" s="15"/>
      <c r="D222" s="20"/>
      <c r="E222" s="3">
        <v>11</v>
      </c>
      <c r="F222" s="20"/>
      <c r="G222" s="20"/>
    </row>
    <row r="223" spans="1:7" ht="15" x14ac:dyDescent="0.25">
      <c r="A223" s="19"/>
      <c r="B223" s="19"/>
      <c r="C223" s="15"/>
      <c r="D223" s="20"/>
      <c r="E223" s="3">
        <v>12</v>
      </c>
      <c r="F223" s="20"/>
      <c r="G223" s="20"/>
    </row>
    <row r="224" spans="1:7" ht="15" x14ac:dyDescent="0.25">
      <c r="A224" s="19"/>
      <c r="B224" s="19"/>
      <c r="C224" s="15"/>
      <c r="D224" s="20"/>
      <c r="E224" s="3">
        <v>13</v>
      </c>
      <c r="F224" s="20"/>
      <c r="G224" s="20"/>
    </row>
    <row r="225" spans="1:7" ht="15" x14ac:dyDescent="0.25">
      <c r="A225" s="19"/>
      <c r="B225" s="19"/>
      <c r="C225" s="15"/>
      <c r="D225" s="20"/>
      <c r="E225" s="3">
        <v>14</v>
      </c>
      <c r="F225" s="20"/>
      <c r="G225" s="20"/>
    </row>
    <row r="226" spans="1:7" ht="15" x14ac:dyDescent="0.25">
      <c r="A226" s="19"/>
      <c r="B226" s="19"/>
      <c r="C226" s="15"/>
      <c r="D226" s="20"/>
      <c r="E226" s="3">
        <v>15</v>
      </c>
      <c r="F226" s="20"/>
      <c r="G226" s="20"/>
    </row>
    <row r="227" spans="1:7" ht="15" x14ac:dyDescent="0.25">
      <c r="A227" s="19">
        <v>60</v>
      </c>
      <c r="B227" s="19" t="s">
        <v>246</v>
      </c>
      <c r="C227" s="4" t="s">
        <v>176</v>
      </c>
      <c r="D227" s="3" t="s">
        <v>179</v>
      </c>
      <c r="E227" s="3">
        <v>0</v>
      </c>
      <c r="F227" s="20" t="s">
        <v>303</v>
      </c>
      <c r="G227" s="3" t="s">
        <v>318</v>
      </c>
    </row>
    <row r="228" spans="1:7" ht="15" x14ac:dyDescent="0.25">
      <c r="A228" s="19"/>
      <c r="B228" s="19"/>
      <c r="C228" s="15"/>
      <c r="D228" s="3"/>
      <c r="E228" s="3">
        <v>1</v>
      </c>
      <c r="F228" s="20" t="s">
        <v>304</v>
      </c>
      <c r="G228" s="3" t="s">
        <v>318</v>
      </c>
    </row>
    <row r="229" spans="1:7" ht="15" x14ac:dyDescent="0.25">
      <c r="A229" s="19"/>
      <c r="B229" s="19"/>
      <c r="C229" s="15"/>
      <c r="D229" s="3"/>
      <c r="E229" s="3">
        <v>2</v>
      </c>
      <c r="F229" s="20" t="s">
        <v>305</v>
      </c>
      <c r="G229" s="3" t="s">
        <v>318</v>
      </c>
    </row>
    <row r="230" spans="1:7" ht="15" x14ac:dyDescent="0.25">
      <c r="A230" s="19"/>
      <c r="B230" s="19"/>
      <c r="C230" s="15"/>
      <c r="D230" s="3"/>
      <c r="E230" s="3">
        <v>3</v>
      </c>
      <c r="F230" s="20" t="s">
        <v>306</v>
      </c>
      <c r="G230" s="3" t="s">
        <v>318</v>
      </c>
    </row>
    <row r="231" spans="1:7" ht="15" x14ac:dyDescent="0.25">
      <c r="A231" s="19"/>
      <c r="B231" s="19"/>
      <c r="C231" s="15"/>
      <c r="D231" s="3"/>
      <c r="E231" s="3">
        <v>4</v>
      </c>
      <c r="F231" s="20" t="s">
        <v>307</v>
      </c>
      <c r="G231" s="3" t="s">
        <v>318</v>
      </c>
    </row>
    <row r="232" spans="1:7" ht="15" x14ac:dyDescent="0.25">
      <c r="A232" s="19"/>
      <c r="B232" s="19"/>
      <c r="C232" s="15"/>
      <c r="D232" s="3"/>
      <c r="E232" s="3">
        <v>5</v>
      </c>
      <c r="F232" s="20" t="s">
        <v>308</v>
      </c>
      <c r="G232" s="3" t="s">
        <v>318</v>
      </c>
    </row>
    <row r="233" spans="1:7" ht="15" x14ac:dyDescent="0.25">
      <c r="A233" s="19"/>
      <c r="B233" s="19"/>
      <c r="C233" s="15"/>
      <c r="D233" s="3"/>
      <c r="E233" s="3">
        <v>6</v>
      </c>
      <c r="F233" s="20" t="s">
        <v>310</v>
      </c>
      <c r="G233" s="3" t="s">
        <v>318</v>
      </c>
    </row>
    <row r="234" spans="1:7" ht="15" x14ac:dyDescent="0.25">
      <c r="A234" s="19"/>
      <c r="B234" s="19"/>
      <c r="C234" s="4"/>
      <c r="D234" s="3"/>
      <c r="E234" s="3">
        <v>7</v>
      </c>
      <c r="F234" s="20" t="s">
        <v>312</v>
      </c>
      <c r="G234" s="3" t="s">
        <v>318</v>
      </c>
    </row>
    <row r="235" spans="1:7" ht="15" x14ac:dyDescent="0.25">
      <c r="A235" s="19"/>
      <c r="B235" s="19"/>
      <c r="C235" s="4"/>
      <c r="D235" s="3"/>
      <c r="E235" s="3">
        <v>8</v>
      </c>
      <c r="F235" s="20" t="s">
        <v>314</v>
      </c>
      <c r="G235" s="3" t="s">
        <v>318</v>
      </c>
    </row>
    <row r="236" spans="1:7" ht="15" x14ac:dyDescent="0.25">
      <c r="A236" s="19"/>
      <c r="B236" s="19"/>
      <c r="C236" s="4"/>
      <c r="D236" s="3"/>
      <c r="E236" s="3">
        <v>9</v>
      </c>
      <c r="F236" s="20" t="s">
        <v>316</v>
      </c>
      <c r="G236" s="3" t="s">
        <v>318</v>
      </c>
    </row>
    <row r="237" spans="1:7" ht="15" x14ac:dyDescent="0.25">
      <c r="A237" s="19"/>
      <c r="B237" s="19"/>
      <c r="C237" s="4"/>
      <c r="D237" s="3"/>
      <c r="E237" s="3">
        <v>10</v>
      </c>
      <c r="F237" s="3"/>
      <c r="G237" s="3"/>
    </row>
    <row r="238" spans="1:7" ht="15" x14ac:dyDescent="0.25">
      <c r="A238" s="19"/>
      <c r="B238" s="19"/>
      <c r="C238" s="4"/>
      <c r="D238" s="3"/>
      <c r="E238" s="3">
        <v>11</v>
      </c>
      <c r="F238" s="3"/>
      <c r="G238" s="3"/>
    </row>
    <row r="239" spans="1:7" ht="15" x14ac:dyDescent="0.25">
      <c r="A239" s="19"/>
      <c r="B239" s="19"/>
      <c r="C239" s="4"/>
      <c r="D239" s="3"/>
      <c r="E239" s="3">
        <v>12</v>
      </c>
      <c r="F239" s="3"/>
      <c r="G239" s="3"/>
    </row>
    <row r="240" spans="1:7" ht="15" x14ac:dyDescent="0.25">
      <c r="A240" s="19"/>
      <c r="B240" s="19"/>
      <c r="C240" s="4"/>
      <c r="D240" s="3"/>
      <c r="E240" s="3">
        <v>13</v>
      </c>
      <c r="F240" s="3"/>
      <c r="G240" s="3"/>
    </row>
    <row r="241" spans="1:8" ht="15" x14ac:dyDescent="0.25">
      <c r="A241" s="19"/>
      <c r="B241" s="19"/>
      <c r="C241" s="4"/>
      <c r="D241" s="3"/>
      <c r="E241" s="3">
        <v>14</v>
      </c>
      <c r="F241" s="3"/>
      <c r="G241" s="3"/>
    </row>
    <row r="242" spans="1:8" ht="15" x14ac:dyDescent="0.25">
      <c r="A242" s="19"/>
      <c r="B242" s="19"/>
      <c r="C242" s="4"/>
      <c r="D242" s="3"/>
      <c r="E242" s="3">
        <v>15</v>
      </c>
      <c r="F242" s="3"/>
      <c r="G242" s="3"/>
    </row>
    <row r="243" spans="1:8" ht="15" x14ac:dyDescent="0.25">
      <c r="A243" s="19">
        <v>61</v>
      </c>
      <c r="B243" s="19" t="s">
        <v>319</v>
      </c>
      <c r="C243" s="4" t="s">
        <v>173</v>
      </c>
      <c r="D243" s="3" t="s">
        <v>180</v>
      </c>
      <c r="E243" s="3">
        <v>0</v>
      </c>
      <c r="F243" s="3" t="s">
        <v>320</v>
      </c>
      <c r="G243" s="24" t="s">
        <v>321</v>
      </c>
    </row>
    <row r="244" spans="1:8" ht="15" x14ac:dyDescent="0.25">
      <c r="A244" s="19"/>
      <c r="B244" s="19"/>
      <c r="C244" s="15"/>
      <c r="D244" s="3"/>
      <c r="E244" s="3">
        <v>1</v>
      </c>
      <c r="F244" s="3" t="s">
        <v>322</v>
      </c>
      <c r="G244" s="24" t="s">
        <v>323</v>
      </c>
    </row>
    <row r="245" spans="1:8" ht="15" x14ac:dyDescent="0.25">
      <c r="A245" s="19"/>
      <c r="B245" s="19"/>
      <c r="C245" s="15"/>
      <c r="D245" s="3"/>
      <c r="E245" s="3">
        <v>2</v>
      </c>
      <c r="F245" s="3" t="s">
        <v>324</v>
      </c>
      <c r="G245" s="24" t="s">
        <v>325</v>
      </c>
      <c r="H245" s="11"/>
    </row>
    <row r="246" spans="1:8" ht="15" x14ac:dyDescent="0.25">
      <c r="A246" s="19"/>
      <c r="B246" s="19"/>
      <c r="C246" s="15"/>
      <c r="D246" s="3"/>
      <c r="E246" s="3">
        <v>3</v>
      </c>
      <c r="F246" s="3" t="s">
        <v>326</v>
      </c>
      <c r="G246" s="24" t="s">
        <v>327</v>
      </c>
      <c r="H246" s="11"/>
    </row>
    <row r="247" spans="1:8" ht="15" x14ac:dyDescent="0.25">
      <c r="A247" s="19"/>
      <c r="B247" s="19"/>
      <c r="C247" s="15"/>
      <c r="D247" s="3"/>
      <c r="E247" s="3">
        <v>4</v>
      </c>
      <c r="F247" s="3" t="s">
        <v>328</v>
      </c>
      <c r="G247" s="24" t="s">
        <v>329</v>
      </c>
      <c r="H247" s="11"/>
    </row>
    <row r="248" spans="1:8" ht="15" x14ac:dyDescent="0.25">
      <c r="A248" s="19"/>
      <c r="B248" s="19"/>
      <c r="C248" s="15"/>
      <c r="D248" s="3"/>
      <c r="E248" s="3">
        <v>5</v>
      </c>
      <c r="F248" s="3" t="s">
        <v>330</v>
      </c>
      <c r="G248" s="24" t="s">
        <v>331</v>
      </c>
      <c r="H248" s="11"/>
    </row>
    <row r="249" spans="1:8" ht="15" x14ac:dyDescent="0.25">
      <c r="A249" s="19"/>
      <c r="B249" s="19"/>
      <c r="C249" s="4"/>
      <c r="D249" s="3"/>
      <c r="E249" s="3">
        <v>6</v>
      </c>
      <c r="F249" s="3" t="s">
        <v>332</v>
      </c>
      <c r="G249" s="24" t="s">
        <v>333</v>
      </c>
    </row>
    <row r="250" spans="1:8" ht="15" x14ac:dyDescent="0.25">
      <c r="A250" s="19"/>
      <c r="B250" s="19"/>
      <c r="C250" s="4"/>
      <c r="D250" s="3"/>
      <c r="E250" s="3">
        <v>7</v>
      </c>
      <c r="F250" s="3" t="s">
        <v>334</v>
      </c>
      <c r="G250" s="24" t="s">
        <v>335</v>
      </c>
    </row>
    <row r="251" spans="1:8" ht="15" x14ac:dyDescent="0.25">
      <c r="A251" s="19"/>
      <c r="B251" s="19"/>
      <c r="C251" s="4"/>
      <c r="D251" s="3"/>
      <c r="E251" s="3">
        <v>8</v>
      </c>
      <c r="F251" s="3" t="s">
        <v>336</v>
      </c>
      <c r="G251" s="24" t="s">
        <v>337</v>
      </c>
    </row>
    <row r="252" spans="1:8" ht="15" x14ac:dyDescent="0.25">
      <c r="A252" s="19"/>
      <c r="B252" s="19"/>
      <c r="C252" s="4"/>
      <c r="D252" s="3"/>
      <c r="E252" s="3">
        <v>9</v>
      </c>
      <c r="F252" s="3" t="s">
        <v>338</v>
      </c>
      <c r="G252" s="24" t="s">
        <v>339</v>
      </c>
    </row>
    <row r="253" spans="1:8" ht="15" x14ac:dyDescent="0.25">
      <c r="A253" s="19"/>
      <c r="B253" s="19"/>
      <c r="C253" s="4"/>
      <c r="D253" s="3"/>
      <c r="E253" s="3">
        <v>10</v>
      </c>
      <c r="F253" s="3" t="s">
        <v>340</v>
      </c>
      <c r="G253" s="24" t="s">
        <v>341</v>
      </c>
    </row>
    <row r="254" spans="1:8" ht="15" x14ac:dyDescent="0.25">
      <c r="A254" s="19"/>
      <c r="B254" s="19"/>
      <c r="C254" s="4"/>
      <c r="D254" s="3"/>
      <c r="E254" s="3">
        <v>11</v>
      </c>
      <c r="F254" s="3" t="s">
        <v>342</v>
      </c>
      <c r="G254" s="24" t="s">
        <v>343</v>
      </c>
    </row>
    <row r="255" spans="1:8" ht="15" x14ac:dyDescent="0.25">
      <c r="A255" s="19"/>
      <c r="B255" s="19"/>
      <c r="C255" s="4"/>
      <c r="D255" s="3"/>
      <c r="E255" s="3">
        <v>12</v>
      </c>
      <c r="F255" s="3" t="s">
        <v>344</v>
      </c>
      <c r="G255" s="24" t="s">
        <v>345</v>
      </c>
    </row>
    <row r="256" spans="1:8" ht="15" x14ac:dyDescent="0.25">
      <c r="A256" s="19"/>
      <c r="B256" s="19"/>
      <c r="C256" s="4"/>
      <c r="D256" s="3"/>
      <c r="E256" s="3">
        <v>13</v>
      </c>
      <c r="F256" s="3" t="s">
        <v>346</v>
      </c>
      <c r="G256" s="24" t="s">
        <v>347</v>
      </c>
    </row>
    <row r="257" spans="1:7" ht="15" x14ac:dyDescent="0.25">
      <c r="A257" s="19"/>
      <c r="B257" s="19"/>
      <c r="C257" s="4"/>
      <c r="D257" s="3"/>
      <c r="E257" s="3">
        <v>14</v>
      </c>
      <c r="F257" s="3" t="s">
        <v>348</v>
      </c>
      <c r="G257" s="24" t="s">
        <v>349</v>
      </c>
    </row>
    <row r="258" spans="1:7" ht="15" x14ac:dyDescent="0.25">
      <c r="A258" s="19"/>
      <c r="B258" s="19"/>
      <c r="C258" s="4"/>
      <c r="D258" s="3"/>
      <c r="E258" s="3">
        <v>15</v>
      </c>
      <c r="F258" s="3"/>
      <c r="G258" s="3"/>
    </row>
    <row r="259" spans="1:7" ht="15" x14ac:dyDescent="0.25">
      <c r="A259" s="19">
        <v>62</v>
      </c>
      <c r="B259" s="19" t="s">
        <v>246</v>
      </c>
      <c r="C259" s="4" t="s">
        <v>173</v>
      </c>
      <c r="D259" s="3" t="s">
        <v>181</v>
      </c>
      <c r="E259" s="3">
        <v>0</v>
      </c>
      <c r="F259" s="3" t="s">
        <v>350</v>
      </c>
      <c r="G259" s="24" t="s">
        <v>351</v>
      </c>
    </row>
    <row r="260" spans="1:7" ht="15" x14ac:dyDescent="0.25">
      <c r="A260" s="19"/>
      <c r="B260" s="19"/>
      <c r="C260" s="4"/>
      <c r="D260" s="3"/>
      <c r="E260" s="3">
        <v>1</v>
      </c>
      <c r="F260" s="3" t="s">
        <v>352</v>
      </c>
      <c r="G260" s="24" t="s">
        <v>353</v>
      </c>
    </row>
    <row r="261" spans="1:7" ht="15" x14ac:dyDescent="0.25">
      <c r="A261" s="19"/>
      <c r="B261" s="19"/>
      <c r="C261" s="4"/>
      <c r="D261" s="3"/>
      <c r="E261" s="3">
        <v>2</v>
      </c>
      <c r="F261" s="3" t="s">
        <v>354</v>
      </c>
      <c r="G261" s="3" t="s">
        <v>355</v>
      </c>
    </row>
    <row r="262" spans="1:7" ht="15" x14ac:dyDescent="0.25">
      <c r="A262" s="19"/>
      <c r="B262" s="19"/>
      <c r="C262" s="4"/>
      <c r="D262" s="3"/>
      <c r="E262" s="3">
        <v>3</v>
      </c>
      <c r="F262" s="3"/>
      <c r="G262" s="3"/>
    </row>
    <row r="263" spans="1:7" ht="15" x14ac:dyDescent="0.25">
      <c r="A263" s="19"/>
      <c r="B263" s="19"/>
      <c r="C263" s="4"/>
      <c r="D263" s="3"/>
      <c r="E263" s="3">
        <v>4</v>
      </c>
      <c r="F263" s="3"/>
      <c r="G263" s="3"/>
    </row>
    <row r="264" spans="1:7" ht="15" x14ac:dyDescent="0.25">
      <c r="A264" s="19"/>
      <c r="B264" s="19"/>
      <c r="C264" s="4"/>
      <c r="D264" s="3"/>
      <c r="E264" s="3">
        <v>5</v>
      </c>
      <c r="F264" s="3"/>
      <c r="G264" s="3"/>
    </row>
    <row r="265" spans="1:7" ht="15" x14ac:dyDescent="0.25">
      <c r="A265" s="19"/>
      <c r="B265" s="19"/>
      <c r="C265" s="4"/>
      <c r="D265" s="3"/>
      <c r="E265" s="3">
        <v>6</v>
      </c>
      <c r="F265" s="3"/>
      <c r="G265" s="3"/>
    </row>
    <row r="266" spans="1:7" ht="15" x14ac:dyDescent="0.25">
      <c r="A266" s="19"/>
      <c r="B266" s="19"/>
      <c r="C266" s="4"/>
      <c r="D266" s="3"/>
      <c r="E266" s="3">
        <v>7</v>
      </c>
      <c r="F266" s="3"/>
      <c r="G266" s="3"/>
    </row>
    <row r="267" spans="1:7" ht="15" x14ac:dyDescent="0.25">
      <c r="A267" s="19"/>
      <c r="B267" s="19"/>
      <c r="C267" s="4"/>
      <c r="D267" s="3"/>
      <c r="E267" s="3">
        <v>8</v>
      </c>
      <c r="F267" s="3"/>
      <c r="G267" s="3"/>
    </row>
    <row r="268" spans="1:7" ht="15" x14ac:dyDescent="0.25">
      <c r="A268" s="19"/>
      <c r="B268" s="19"/>
      <c r="C268" s="4"/>
      <c r="D268" s="3"/>
      <c r="E268" s="3">
        <v>9</v>
      </c>
      <c r="F268" s="3"/>
      <c r="G268" s="3"/>
    </row>
    <row r="269" spans="1:7" ht="15" x14ac:dyDescent="0.25">
      <c r="A269" s="19"/>
      <c r="B269" s="19"/>
      <c r="C269" s="4"/>
      <c r="D269" s="3"/>
      <c r="E269" s="3">
        <v>10</v>
      </c>
      <c r="F269" s="3"/>
      <c r="G269" s="3"/>
    </row>
    <row r="270" spans="1:7" ht="15" x14ac:dyDescent="0.25">
      <c r="A270" s="19"/>
      <c r="B270" s="19"/>
      <c r="C270" s="4"/>
      <c r="D270" s="3"/>
      <c r="E270" s="3">
        <v>11</v>
      </c>
      <c r="F270" s="3"/>
      <c r="G270" s="3"/>
    </row>
    <row r="271" spans="1:7" ht="15" x14ac:dyDescent="0.25">
      <c r="A271" s="19"/>
      <c r="B271" s="19"/>
      <c r="C271" s="4"/>
      <c r="D271" s="3"/>
      <c r="E271" s="3">
        <v>12</v>
      </c>
      <c r="F271" s="3"/>
      <c r="G271" s="3"/>
    </row>
    <row r="272" spans="1:7" ht="15" x14ac:dyDescent="0.25">
      <c r="A272" s="19"/>
      <c r="B272" s="19"/>
      <c r="C272" s="4"/>
      <c r="D272" s="3"/>
      <c r="E272" s="3">
        <v>13</v>
      </c>
      <c r="F272" s="3"/>
      <c r="G272" s="3"/>
    </row>
    <row r="273" spans="1:7" ht="15" x14ac:dyDescent="0.25">
      <c r="A273" s="19"/>
      <c r="B273" s="19"/>
      <c r="C273" s="4"/>
      <c r="D273" s="3"/>
      <c r="E273" s="3">
        <v>14</v>
      </c>
      <c r="F273" s="3"/>
      <c r="G273" s="3"/>
    </row>
    <row r="274" spans="1:7" ht="15" x14ac:dyDescent="0.25">
      <c r="A274" s="19"/>
      <c r="B274" s="19"/>
      <c r="C274" s="4"/>
      <c r="D274" s="3"/>
      <c r="E274" s="3">
        <v>15</v>
      </c>
      <c r="F274" s="3" t="s">
        <v>356</v>
      </c>
      <c r="G274" s="24" t="s">
        <v>357</v>
      </c>
    </row>
    <row r="275" spans="1:7" ht="15" x14ac:dyDescent="0.25">
      <c r="A275" s="19">
        <v>63</v>
      </c>
      <c r="B275" s="19" t="s">
        <v>246</v>
      </c>
      <c r="C275" s="4" t="s">
        <v>177</v>
      </c>
      <c r="D275" s="3" t="s">
        <v>182</v>
      </c>
      <c r="E275" s="3">
        <v>0</v>
      </c>
      <c r="F275" s="3" t="s">
        <v>358</v>
      </c>
      <c r="G275" s="24" t="s">
        <v>359</v>
      </c>
    </row>
    <row r="276" spans="1:7" ht="15" x14ac:dyDescent="0.25">
      <c r="A276" s="19"/>
      <c r="B276" s="19"/>
      <c r="C276" s="15"/>
      <c r="D276" s="3"/>
      <c r="E276" s="3">
        <v>1</v>
      </c>
      <c r="F276" s="3" t="s">
        <v>360</v>
      </c>
      <c r="G276" s="24" t="s">
        <v>361</v>
      </c>
    </row>
    <row r="277" spans="1:7" ht="15" x14ac:dyDescent="0.25">
      <c r="A277" s="19"/>
      <c r="B277" s="19"/>
      <c r="C277" s="15"/>
      <c r="D277" s="3"/>
      <c r="E277" s="3">
        <v>2</v>
      </c>
      <c r="F277" s="3" t="s">
        <v>362</v>
      </c>
      <c r="G277" s="24" t="s">
        <v>363</v>
      </c>
    </row>
    <row r="278" spans="1:7" ht="15" x14ac:dyDescent="0.25">
      <c r="A278" s="19"/>
      <c r="B278" s="19"/>
      <c r="C278" s="15"/>
      <c r="D278" s="3"/>
      <c r="E278" s="3">
        <v>3</v>
      </c>
      <c r="F278" s="3" t="s">
        <v>364</v>
      </c>
      <c r="G278" s="3"/>
    </row>
    <row r="279" spans="1:7" ht="15" x14ac:dyDescent="0.25">
      <c r="A279" s="19"/>
      <c r="B279" s="19"/>
      <c r="C279" s="15"/>
      <c r="D279" s="3"/>
      <c r="E279" s="3">
        <v>4</v>
      </c>
      <c r="F279" s="3" t="s">
        <v>365</v>
      </c>
      <c r="G279" s="3"/>
    </row>
    <row r="280" spans="1:7" ht="15" x14ac:dyDescent="0.25">
      <c r="A280" s="19"/>
      <c r="B280" s="19"/>
      <c r="C280" s="4"/>
      <c r="D280" s="3"/>
      <c r="E280" s="3">
        <v>5</v>
      </c>
      <c r="F280" s="3" t="s">
        <v>366</v>
      </c>
      <c r="G280" s="3"/>
    </row>
    <row r="281" spans="1:7" ht="15" x14ac:dyDescent="0.25">
      <c r="A281" s="19"/>
      <c r="B281" s="19"/>
      <c r="C281" s="4"/>
      <c r="D281" s="3"/>
      <c r="E281" s="3">
        <v>6</v>
      </c>
      <c r="F281" s="3" t="s">
        <v>367</v>
      </c>
      <c r="G281" s="3"/>
    </row>
    <row r="282" spans="1:7" ht="15" x14ac:dyDescent="0.25">
      <c r="A282" s="19"/>
      <c r="B282" s="19"/>
      <c r="C282" s="4"/>
      <c r="D282" s="3"/>
      <c r="E282" s="3">
        <v>7</v>
      </c>
      <c r="F282" s="3"/>
      <c r="G282" s="3"/>
    </row>
    <row r="283" spans="1:7" ht="15" x14ac:dyDescent="0.25">
      <c r="A283" s="19"/>
      <c r="B283" s="19"/>
      <c r="C283" s="4"/>
      <c r="D283" s="3"/>
      <c r="E283" s="3">
        <v>8</v>
      </c>
      <c r="F283" s="3"/>
      <c r="G283" s="3"/>
    </row>
    <row r="284" spans="1:7" ht="15" x14ac:dyDescent="0.25">
      <c r="A284" s="19"/>
      <c r="B284" s="19"/>
      <c r="C284" s="4"/>
      <c r="D284" s="3"/>
      <c r="E284" s="3">
        <v>9</v>
      </c>
      <c r="F284" s="3"/>
      <c r="G284" s="3"/>
    </row>
    <row r="285" spans="1:7" ht="15" x14ac:dyDescent="0.25">
      <c r="A285" s="19"/>
      <c r="B285" s="19"/>
      <c r="C285" s="4"/>
      <c r="D285" s="3"/>
      <c r="E285" s="3">
        <v>10</v>
      </c>
      <c r="F285" s="3"/>
      <c r="G285" s="3"/>
    </row>
    <row r="286" spans="1:7" ht="15" x14ac:dyDescent="0.25">
      <c r="A286" s="19"/>
      <c r="B286" s="19"/>
      <c r="C286" s="4"/>
      <c r="D286" s="3"/>
      <c r="E286" s="3">
        <v>11</v>
      </c>
      <c r="F286" s="3"/>
      <c r="G286" s="3"/>
    </row>
    <row r="287" spans="1:7" ht="15" x14ac:dyDescent="0.25">
      <c r="A287" s="19"/>
      <c r="B287" s="19"/>
      <c r="C287" s="4"/>
      <c r="D287" s="3"/>
      <c r="E287" s="3">
        <v>12</v>
      </c>
      <c r="F287" s="3"/>
      <c r="G287" s="3"/>
    </row>
    <row r="288" spans="1:7" ht="15" x14ac:dyDescent="0.25">
      <c r="A288" s="19"/>
      <c r="B288" s="19"/>
      <c r="C288" s="4"/>
      <c r="D288" s="3"/>
      <c r="E288" s="3">
        <v>13</v>
      </c>
      <c r="F288" s="3"/>
      <c r="G288" s="3"/>
    </row>
    <row r="289" spans="1:7" ht="15" x14ac:dyDescent="0.25">
      <c r="A289" s="19"/>
      <c r="B289" s="19"/>
      <c r="C289" s="4"/>
      <c r="D289" s="3"/>
      <c r="E289" s="3">
        <v>14</v>
      </c>
      <c r="F289" s="3"/>
      <c r="G289" s="3"/>
    </row>
    <row r="290" spans="1:7" ht="15" x14ac:dyDescent="0.25">
      <c r="A290" s="19"/>
      <c r="B290" s="19"/>
      <c r="C290" s="4"/>
      <c r="D290" s="3"/>
      <c r="E290" s="3">
        <v>15</v>
      </c>
      <c r="F290" s="3"/>
      <c r="G290" s="3"/>
    </row>
    <row r="291" spans="1:7" ht="15" x14ac:dyDescent="0.25">
      <c r="A291" s="19">
        <v>64</v>
      </c>
      <c r="B291" s="7" t="s">
        <v>246</v>
      </c>
      <c r="C291" s="4" t="s">
        <v>174</v>
      </c>
      <c r="D291" s="3" t="s">
        <v>129</v>
      </c>
      <c r="E291" s="3" t="s">
        <v>57</v>
      </c>
      <c r="F291" s="3" t="s">
        <v>368</v>
      </c>
      <c r="G291" s="3" t="s">
        <v>369</v>
      </c>
    </row>
    <row r="292" spans="1:7" ht="15" x14ac:dyDescent="0.25">
      <c r="A292" s="19">
        <v>65</v>
      </c>
      <c r="B292" s="7" t="s">
        <v>246</v>
      </c>
      <c r="C292" s="4" t="s">
        <v>183</v>
      </c>
      <c r="D292" s="3" t="s">
        <v>184</v>
      </c>
      <c r="E292" s="3" t="s">
        <v>57</v>
      </c>
      <c r="F292" s="3" t="s">
        <v>368</v>
      </c>
      <c r="G292" s="3" t="s">
        <v>370</v>
      </c>
    </row>
    <row r="293" spans="1:7" ht="15" x14ac:dyDescent="0.25">
      <c r="A293" s="19">
        <v>66</v>
      </c>
      <c r="B293" s="19" t="s">
        <v>231</v>
      </c>
      <c r="C293" s="15" t="s">
        <v>185</v>
      </c>
      <c r="D293" s="3" t="s">
        <v>371</v>
      </c>
      <c r="E293" s="3" t="s">
        <v>57</v>
      </c>
      <c r="F293" s="3" t="s">
        <v>251</v>
      </c>
      <c r="G293" s="3" t="s">
        <v>60</v>
      </c>
    </row>
    <row r="294" spans="1:7" ht="15" x14ac:dyDescent="0.25">
      <c r="A294" s="19">
        <v>67</v>
      </c>
      <c r="B294" s="19" t="s">
        <v>231</v>
      </c>
      <c r="C294" s="15" t="s">
        <v>186</v>
      </c>
      <c r="D294" s="3" t="s">
        <v>372</v>
      </c>
      <c r="E294" s="3" t="s">
        <v>57</v>
      </c>
      <c r="F294" s="3" t="s">
        <v>251</v>
      </c>
      <c r="G294" s="3" t="s">
        <v>60</v>
      </c>
    </row>
    <row r="295" spans="1:7" ht="15" x14ac:dyDescent="0.25">
      <c r="A295" s="19">
        <v>68</v>
      </c>
      <c r="B295" s="19" t="s">
        <v>231</v>
      </c>
      <c r="C295" s="4" t="s">
        <v>187</v>
      </c>
      <c r="D295" s="3" t="s">
        <v>373</v>
      </c>
      <c r="E295" s="3" t="s">
        <v>57</v>
      </c>
      <c r="F295" s="3" t="s">
        <v>251</v>
      </c>
      <c r="G295" s="3" t="s">
        <v>60</v>
      </c>
    </row>
    <row r="296" spans="1:7" ht="15" x14ac:dyDescent="0.25">
      <c r="A296" s="19">
        <v>69</v>
      </c>
      <c r="B296" s="19" t="s">
        <v>231</v>
      </c>
      <c r="C296" s="4" t="s">
        <v>188</v>
      </c>
      <c r="D296" s="3" t="s">
        <v>374</v>
      </c>
      <c r="E296" s="3" t="s">
        <v>57</v>
      </c>
      <c r="F296" s="3" t="s">
        <v>251</v>
      </c>
      <c r="G296" s="3" t="s">
        <v>60</v>
      </c>
    </row>
    <row r="297" spans="1:7" ht="15" x14ac:dyDescent="0.25">
      <c r="A297" s="19">
        <v>70</v>
      </c>
      <c r="B297" s="19" t="s">
        <v>231</v>
      </c>
      <c r="C297" s="4" t="s">
        <v>189</v>
      </c>
      <c r="D297" s="3" t="s">
        <v>375</v>
      </c>
      <c r="E297" s="3" t="s">
        <v>57</v>
      </c>
      <c r="F297" s="3" t="s">
        <v>251</v>
      </c>
      <c r="G297" s="3" t="s">
        <v>60</v>
      </c>
    </row>
    <row r="298" spans="1:7" ht="15" x14ac:dyDescent="0.25">
      <c r="A298" s="19">
        <v>71</v>
      </c>
      <c r="B298" s="19" t="s">
        <v>231</v>
      </c>
      <c r="C298" s="4" t="s">
        <v>190</v>
      </c>
      <c r="D298" s="3" t="s">
        <v>376</v>
      </c>
      <c r="E298" s="3" t="s">
        <v>57</v>
      </c>
      <c r="F298" s="3" t="s">
        <v>251</v>
      </c>
      <c r="G298" s="3" t="s">
        <v>60</v>
      </c>
    </row>
    <row r="299" spans="1:7" ht="15" x14ac:dyDescent="0.25">
      <c r="A299" s="19">
        <v>72</v>
      </c>
      <c r="B299" s="19" t="s">
        <v>231</v>
      </c>
      <c r="C299" s="4" t="s">
        <v>191</v>
      </c>
      <c r="D299" s="3" t="s">
        <v>377</v>
      </c>
      <c r="E299" s="3" t="s">
        <v>57</v>
      </c>
      <c r="F299" s="3" t="s">
        <v>251</v>
      </c>
      <c r="G299" s="3" t="s">
        <v>60</v>
      </c>
    </row>
    <row r="300" spans="1:7" ht="15" x14ac:dyDescent="0.25">
      <c r="A300" s="19">
        <v>73</v>
      </c>
      <c r="B300" s="19" t="s">
        <v>231</v>
      </c>
      <c r="C300" s="4" t="s">
        <v>192</v>
      </c>
      <c r="D300" s="3" t="s">
        <v>378</v>
      </c>
      <c r="E300" s="3" t="s">
        <v>57</v>
      </c>
      <c r="F300" s="3" t="s">
        <v>251</v>
      </c>
      <c r="G300" s="3" t="s">
        <v>60</v>
      </c>
    </row>
    <row r="301" spans="1:7" ht="15" x14ac:dyDescent="0.25">
      <c r="A301" s="19">
        <v>74</v>
      </c>
      <c r="B301" s="19" t="s">
        <v>231</v>
      </c>
      <c r="C301" s="4" t="s">
        <v>193</v>
      </c>
      <c r="D301" s="3" t="s">
        <v>379</v>
      </c>
      <c r="E301" s="3" t="s">
        <v>57</v>
      </c>
      <c r="F301" s="3" t="s">
        <v>251</v>
      </c>
      <c r="G301" s="3" t="s">
        <v>60</v>
      </c>
    </row>
    <row r="302" spans="1:7" ht="15" x14ac:dyDescent="0.25">
      <c r="A302" s="19">
        <v>75</v>
      </c>
      <c r="B302" s="19" t="s">
        <v>231</v>
      </c>
      <c r="C302" s="4" t="s">
        <v>194</v>
      </c>
      <c r="D302" s="3" t="s">
        <v>380</v>
      </c>
      <c r="E302" s="3" t="s">
        <v>57</v>
      </c>
      <c r="F302" s="3" t="s">
        <v>251</v>
      </c>
      <c r="G302" s="3" t="s">
        <v>60</v>
      </c>
    </row>
    <row r="303" spans="1:7" ht="15" x14ac:dyDescent="0.25">
      <c r="A303" s="19">
        <v>76</v>
      </c>
      <c r="B303" s="19" t="s">
        <v>231</v>
      </c>
      <c r="C303" s="4" t="s">
        <v>195</v>
      </c>
      <c r="D303" s="3" t="s">
        <v>381</v>
      </c>
      <c r="E303" s="3" t="s">
        <v>57</v>
      </c>
      <c r="F303" s="3" t="s">
        <v>251</v>
      </c>
      <c r="G303" s="3" t="s">
        <v>60</v>
      </c>
    </row>
    <row r="304" spans="1:7" ht="15" x14ac:dyDescent="0.25">
      <c r="A304" s="19">
        <v>77</v>
      </c>
      <c r="B304" s="19" t="s">
        <v>231</v>
      </c>
      <c r="C304" s="4" t="s">
        <v>196</v>
      </c>
      <c r="D304" s="3" t="s">
        <v>382</v>
      </c>
      <c r="E304" s="3" t="s">
        <v>57</v>
      </c>
      <c r="F304" s="3" t="s">
        <v>251</v>
      </c>
      <c r="G304" s="3" t="s">
        <v>60</v>
      </c>
    </row>
    <row r="305" spans="1:7" ht="15" x14ac:dyDescent="0.25">
      <c r="A305" s="19">
        <v>78</v>
      </c>
      <c r="B305" s="19" t="s">
        <v>231</v>
      </c>
      <c r="C305" s="4" t="s">
        <v>197</v>
      </c>
      <c r="D305" s="3" t="s">
        <v>383</v>
      </c>
      <c r="E305" s="3" t="s">
        <v>57</v>
      </c>
      <c r="F305" s="3" t="s">
        <v>251</v>
      </c>
      <c r="G305" s="3" t="s">
        <v>60</v>
      </c>
    </row>
    <row r="306" spans="1:7" ht="15" x14ac:dyDescent="0.25">
      <c r="A306" s="19">
        <v>79</v>
      </c>
      <c r="B306" s="19" t="s">
        <v>231</v>
      </c>
      <c r="C306" s="4" t="s">
        <v>198</v>
      </c>
      <c r="D306" s="3" t="s">
        <v>384</v>
      </c>
      <c r="E306" s="3" t="s">
        <v>57</v>
      </c>
      <c r="F306" s="3" t="s">
        <v>251</v>
      </c>
      <c r="G306" s="3" t="s">
        <v>60</v>
      </c>
    </row>
    <row r="307" spans="1:7" ht="15" x14ac:dyDescent="0.25">
      <c r="A307" s="19">
        <v>80</v>
      </c>
      <c r="B307" s="19" t="s">
        <v>231</v>
      </c>
      <c r="C307" s="4" t="s">
        <v>199</v>
      </c>
      <c r="D307" s="3" t="s">
        <v>385</v>
      </c>
      <c r="E307" s="3" t="s">
        <v>57</v>
      </c>
      <c r="F307" s="3" t="s">
        <v>251</v>
      </c>
      <c r="G307" s="3" t="s">
        <v>60</v>
      </c>
    </row>
    <row r="308" spans="1:7" ht="15" x14ac:dyDescent="0.25">
      <c r="A308" s="19">
        <v>81</v>
      </c>
      <c r="B308" s="19" t="s">
        <v>231</v>
      </c>
      <c r="C308" s="15" t="s">
        <v>200</v>
      </c>
      <c r="D308" s="3" t="s">
        <v>386</v>
      </c>
      <c r="E308" s="3" t="s">
        <v>57</v>
      </c>
      <c r="F308" s="3" t="s">
        <v>251</v>
      </c>
      <c r="G308" s="3" t="s">
        <v>60</v>
      </c>
    </row>
    <row r="309" spans="1:7" ht="15" x14ac:dyDescent="0.25">
      <c r="A309" s="19">
        <v>82</v>
      </c>
      <c r="B309" s="19" t="s">
        <v>231</v>
      </c>
      <c r="C309" s="15" t="s">
        <v>201</v>
      </c>
      <c r="D309" s="3" t="s">
        <v>387</v>
      </c>
      <c r="E309" s="3" t="s">
        <v>57</v>
      </c>
      <c r="F309" s="3" t="s">
        <v>251</v>
      </c>
      <c r="G309" s="3" t="s">
        <v>60</v>
      </c>
    </row>
    <row r="310" spans="1:7" ht="15" x14ac:dyDescent="0.25">
      <c r="A310" s="19">
        <v>83</v>
      </c>
      <c r="B310" s="19" t="s">
        <v>231</v>
      </c>
      <c r="C310" s="4" t="s">
        <v>202</v>
      </c>
      <c r="D310" s="3" t="s">
        <v>388</v>
      </c>
      <c r="E310" s="3" t="s">
        <v>57</v>
      </c>
      <c r="F310" s="3" t="s">
        <v>251</v>
      </c>
      <c r="G310" s="3" t="s">
        <v>60</v>
      </c>
    </row>
    <row r="311" spans="1:7" ht="15" x14ac:dyDescent="0.25">
      <c r="A311" s="19">
        <v>84</v>
      </c>
      <c r="B311" s="19" t="s">
        <v>231</v>
      </c>
      <c r="C311" s="4" t="s">
        <v>203</v>
      </c>
      <c r="D311" s="3" t="s">
        <v>389</v>
      </c>
      <c r="E311" s="3" t="s">
        <v>57</v>
      </c>
      <c r="F311" s="3" t="s">
        <v>251</v>
      </c>
      <c r="G311" s="3" t="s">
        <v>60</v>
      </c>
    </row>
    <row r="312" spans="1:7" ht="15" x14ac:dyDescent="0.25">
      <c r="A312" s="19">
        <v>85</v>
      </c>
      <c r="B312" s="19" t="s">
        <v>231</v>
      </c>
      <c r="C312" s="4" t="s">
        <v>204</v>
      </c>
      <c r="D312" s="3" t="s">
        <v>390</v>
      </c>
      <c r="E312" s="3" t="s">
        <v>57</v>
      </c>
      <c r="F312" s="3" t="s">
        <v>251</v>
      </c>
      <c r="G312" s="3" t="s">
        <v>60</v>
      </c>
    </row>
    <row r="313" spans="1:7" ht="15" x14ac:dyDescent="0.25">
      <c r="A313" s="19">
        <v>86</v>
      </c>
      <c r="B313" s="19" t="s">
        <v>231</v>
      </c>
      <c r="C313" s="4" t="s">
        <v>205</v>
      </c>
      <c r="D313" s="3" t="s">
        <v>391</v>
      </c>
      <c r="E313" s="3" t="s">
        <v>57</v>
      </c>
      <c r="F313" s="3" t="s">
        <v>251</v>
      </c>
      <c r="G313" s="3" t="s">
        <v>60</v>
      </c>
    </row>
    <row r="314" spans="1:7" ht="15" x14ac:dyDescent="0.25">
      <c r="A314" s="19">
        <v>87</v>
      </c>
      <c r="B314" s="19" t="s">
        <v>231</v>
      </c>
      <c r="C314" s="4" t="s">
        <v>206</v>
      </c>
      <c r="D314" s="3" t="s">
        <v>392</v>
      </c>
      <c r="E314" s="3" t="s">
        <v>57</v>
      </c>
      <c r="F314" s="3" t="s">
        <v>251</v>
      </c>
      <c r="G314" s="3" t="s">
        <v>60</v>
      </c>
    </row>
    <row r="315" spans="1:7" ht="15" x14ac:dyDescent="0.25">
      <c r="A315" s="19">
        <v>88</v>
      </c>
      <c r="B315" s="19" t="s">
        <v>238</v>
      </c>
      <c r="C315" s="4" t="s">
        <v>193</v>
      </c>
      <c r="D315" s="3" t="s">
        <v>393</v>
      </c>
      <c r="E315" s="3" t="s">
        <v>57</v>
      </c>
      <c r="F315" s="3" t="s">
        <v>251</v>
      </c>
      <c r="G315" s="3" t="s">
        <v>60</v>
      </c>
    </row>
    <row r="316" spans="1:7" ht="15" x14ac:dyDescent="0.25">
      <c r="A316" s="19">
        <v>89</v>
      </c>
      <c r="B316" s="19" t="s">
        <v>238</v>
      </c>
      <c r="C316" s="4" t="s">
        <v>194</v>
      </c>
      <c r="D316" s="3" t="s">
        <v>394</v>
      </c>
      <c r="E316" s="3" t="s">
        <v>57</v>
      </c>
      <c r="F316" s="3" t="s">
        <v>251</v>
      </c>
      <c r="G316" s="3" t="s">
        <v>60</v>
      </c>
    </row>
    <row r="317" spans="1:7" ht="15" x14ac:dyDescent="0.25">
      <c r="A317" s="19">
        <v>90</v>
      </c>
      <c r="B317" s="19" t="s">
        <v>238</v>
      </c>
      <c r="C317" s="4" t="s">
        <v>195</v>
      </c>
      <c r="D317" s="3" t="s">
        <v>395</v>
      </c>
      <c r="E317" s="3" t="s">
        <v>57</v>
      </c>
      <c r="F317" s="3" t="s">
        <v>251</v>
      </c>
      <c r="G317" s="3" t="s">
        <v>60</v>
      </c>
    </row>
    <row r="318" spans="1:7" ht="15" x14ac:dyDescent="0.25">
      <c r="A318" s="19">
        <v>91</v>
      </c>
      <c r="B318" s="19" t="s">
        <v>242</v>
      </c>
      <c r="C318" s="4" t="s">
        <v>207</v>
      </c>
      <c r="D318" s="3" t="s">
        <v>396</v>
      </c>
      <c r="E318" s="3" t="s">
        <v>57</v>
      </c>
      <c r="F318" s="3" t="s">
        <v>251</v>
      </c>
      <c r="G318" s="3" t="s">
        <v>60</v>
      </c>
    </row>
    <row r="319" spans="1:7" ht="15" x14ac:dyDescent="0.25">
      <c r="A319" s="19">
        <v>92</v>
      </c>
      <c r="B319" s="19" t="s">
        <v>243</v>
      </c>
      <c r="C319" s="4" t="s">
        <v>207</v>
      </c>
      <c r="D319" s="3" t="s">
        <v>397</v>
      </c>
      <c r="E319" s="3" t="s">
        <v>57</v>
      </c>
      <c r="F319" s="3" t="s">
        <v>251</v>
      </c>
      <c r="G319" s="3" t="s">
        <v>60</v>
      </c>
    </row>
    <row r="320" spans="1:7" ht="15" x14ac:dyDescent="0.25">
      <c r="A320" s="19">
        <v>93</v>
      </c>
      <c r="B320" s="19" t="s">
        <v>245</v>
      </c>
      <c r="C320" s="4" t="s">
        <v>207</v>
      </c>
      <c r="D320" s="3" t="s">
        <v>398</v>
      </c>
      <c r="E320" s="3" t="s">
        <v>57</v>
      </c>
      <c r="F320" s="3" t="s">
        <v>251</v>
      </c>
      <c r="G320" s="3" t="s">
        <v>60</v>
      </c>
    </row>
    <row r="321" spans="1:7" ht="15" x14ac:dyDescent="0.25">
      <c r="A321" s="19">
        <v>94</v>
      </c>
      <c r="B321" s="19" t="s">
        <v>246</v>
      </c>
      <c r="C321" s="4" t="s">
        <v>208</v>
      </c>
      <c r="D321" s="3" t="s">
        <v>399</v>
      </c>
      <c r="E321" s="3" t="s">
        <v>57</v>
      </c>
      <c r="F321" s="3" t="s">
        <v>251</v>
      </c>
      <c r="G321" s="3" t="s">
        <v>60</v>
      </c>
    </row>
    <row r="322" spans="1:7" ht="15" x14ac:dyDescent="0.25">
      <c r="A322" s="19">
        <v>95</v>
      </c>
      <c r="B322" s="19" t="s">
        <v>246</v>
      </c>
      <c r="C322" s="4" t="s">
        <v>209</v>
      </c>
      <c r="D322" s="3" t="s">
        <v>400</v>
      </c>
      <c r="E322" s="3" t="s">
        <v>57</v>
      </c>
      <c r="F322" s="3" t="s">
        <v>251</v>
      </c>
      <c r="G322" s="3" t="s">
        <v>60</v>
      </c>
    </row>
    <row r="323" spans="1:7" ht="15" x14ac:dyDescent="0.25">
      <c r="A323" s="19">
        <v>96</v>
      </c>
      <c r="B323" s="19" t="s">
        <v>246</v>
      </c>
      <c r="C323" s="4" t="s">
        <v>210</v>
      </c>
      <c r="D323" s="3" t="s">
        <v>401</v>
      </c>
      <c r="E323" s="3" t="s">
        <v>57</v>
      </c>
      <c r="F323" s="3" t="s">
        <v>251</v>
      </c>
      <c r="G323" s="3" t="s">
        <v>60</v>
      </c>
    </row>
    <row r="324" spans="1:7" ht="15" x14ac:dyDescent="0.25">
      <c r="A324" s="19">
        <v>97</v>
      </c>
      <c r="B324" s="19" t="s">
        <v>246</v>
      </c>
      <c r="C324" s="15" t="s">
        <v>211</v>
      </c>
      <c r="D324" s="3" t="s">
        <v>402</v>
      </c>
      <c r="E324" s="3" t="s">
        <v>57</v>
      </c>
      <c r="F324" s="3" t="s">
        <v>251</v>
      </c>
      <c r="G324" s="3" t="s">
        <v>60</v>
      </c>
    </row>
    <row r="325" spans="1:7" ht="15" x14ac:dyDescent="0.25">
      <c r="A325" s="19">
        <v>98</v>
      </c>
      <c r="B325" s="19" t="s">
        <v>243</v>
      </c>
      <c r="C325" s="4">
        <v>485</v>
      </c>
      <c r="D325" s="3" t="s">
        <v>403</v>
      </c>
      <c r="E325" s="3" t="s">
        <v>57</v>
      </c>
      <c r="F325" s="3" t="s">
        <v>251</v>
      </c>
      <c r="G325" s="3" t="s">
        <v>404</v>
      </c>
    </row>
    <row r="326" spans="1:7" ht="15" x14ac:dyDescent="0.25">
      <c r="A326" s="19">
        <v>99</v>
      </c>
      <c r="B326" s="19" t="s">
        <v>243</v>
      </c>
      <c r="C326" s="4" t="s">
        <v>218</v>
      </c>
      <c r="D326" s="3" t="s">
        <v>405</v>
      </c>
      <c r="E326" s="3" t="s">
        <v>57</v>
      </c>
      <c r="F326" s="3" t="s">
        <v>368</v>
      </c>
      <c r="G326" s="3" t="s">
        <v>406</v>
      </c>
    </row>
    <row r="327" spans="1:7" ht="15" x14ac:dyDescent="0.25">
      <c r="A327" s="19">
        <v>100</v>
      </c>
      <c r="B327" s="19" t="s">
        <v>246</v>
      </c>
      <c r="C327" s="4" t="s">
        <v>219</v>
      </c>
      <c r="D327" s="3" t="s">
        <v>222</v>
      </c>
      <c r="E327" s="3" t="s">
        <v>57</v>
      </c>
      <c r="F327" s="3" t="s">
        <v>368</v>
      </c>
      <c r="G327" s="3" t="s">
        <v>407</v>
      </c>
    </row>
    <row r="328" spans="1:7" ht="15" x14ac:dyDescent="0.25">
      <c r="A328" s="19">
        <v>101</v>
      </c>
      <c r="B328" s="19" t="s">
        <v>246</v>
      </c>
      <c r="C328" s="4" t="s">
        <v>220</v>
      </c>
      <c r="D328" s="3" t="s">
        <v>223</v>
      </c>
      <c r="E328" s="3" t="s">
        <v>57</v>
      </c>
      <c r="F328" s="3" t="s">
        <v>368</v>
      </c>
      <c r="G328" s="3" t="s">
        <v>407</v>
      </c>
    </row>
    <row r="329" spans="1:7" ht="15" x14ac:dyDescent="0.25">
      <c r="A329" s="19">
        <v>102</v>
      </c>
      <c r="B329" s="19" t="s">
        <v>246</v>
      </c>
      <c r="C329" s="4" t="s">
        <v>221</v>
      </c>
      <c r="D329" s="3" t="s">
        <v>222</v>
      </c>
      <c r="E329" s="3" t="s">
        <v>57</v>
      </c>
      <c r="F329" s="3" t="s">
        <v>368</v>
      </c>
      <c r="G329" s="3" t="s">
        <v>407</v>
      </c>
    </row>
    <row r="330" spans="1:7" ht="15" x14ac:dyDescent="0.25">
      <c r="A330" s="19">
        <v>103</v>
      </c>
      <c r="B330" s="19" t="s">
        <v>246</v>
      </c>
      <c r="C330" s="4" t="s">
        <v>224</v>
      </c>
      <c r="D330" s="3" t="s">
        <v>227</v>
      </c>
      <c r="E330" s="3" t="s">
        <v>57</v>
      </c>
      <c r="F330" s="3" t="s">
        <v>251</v>
      </c>
      <c r="G330" s="3" t="s">
        <v>60</v>
      </c>
    </row>
    <row r="331" spans="1:7" ht="15" x14ac:dyDescent="0.25">
      <c r="A331" s="19">
        <v>104</v>
      </c>
      <c r="B331" s="19" t="s">
        <v>246</v>
      </c>
      <c r="C331" s="4" t="s">
        <v>225</v>
      </c>
      <c r="D331" s="3" t="s">
        <v>228</v>
      </c>
      <c r="E331" s="3" t="s">
        <v>57</v>
      </c>
      <c r="F331" s="3" t="s">
        <v>251</v>
      </c>
      <c r="G331" s="3" t="s">
        <v>60</v>
      </c>
    </row>
    <row r="332" spans="1:7" ht="15" x14ac:dyDescent="0.25">
      <c r="A332" s="19">
        <v>105</v>
      </c>
      <c r="B332" s="19" t="s">
        <v>246</v>
      </c>
      <c r="C332" s="4" t="s">
        <v>226</v>
      </c>
      <c r="D332" s="3" t="s">
        <v>229</v>
      </c>
      <c r="E332" s="3">
        <v>0</v>
      </c>
      <c r="F332" s="3" t="s">
        <v>408</v>
      </c>
      <c r="G332" s="3" t="s">
        <v>409</v>
      </c>
    </row>
    <row r="333" spans="1:7" ht="15" x14ac:dyDescent="0.25">
      <c r="A333" s="19"/>
      <c r="B333" s="19"/>
      <c r="C333" s="4"/>
      <c r="D333" s="3"/>
      <c r="E333" s="3">
        <v>1</v>
      </c>
      <c r="F333" s="3" t="s">
        <v>410</v>
      </c>
      <c r="G333" s="3" t="s">
        <v>411</v>
      </c>
    </row>
    <row r="334" spans="1:7" ht="15" x14ac:dyDescent="0.25">
      <c r="A334" s="19"/>
      <c r="B334" s="19"/>
      <c r="C334" s="4"/>
      <c r="D334" s="3"/>
      <c r="E334" s="3">
        <v>2</v>
      </c>
      <c r="F334" s="3" t="s">
        <v>412</v>
      </c>
      <c r="G334" s="3" t="s">
        <v>413</v>
      </c>
    </row>
    <row r="335" spans="1:7" ht="15" x14ac:dyDescent="0.25">
      <c r="A335" s="19"/>
      <c r="B335" s="19"/>
      <c r="C335" s="4"/>
      <c r="D335" s="3"/>
      <c r="E335" s="3">
        <v>3</v>
      </c>
      <c r="F335" s="3" t="s">
        <v>414</v>
      </c>
      <c r="G335" s="3" t="s">
        <v>415</v>
      </c>
    </row>
    <row r="336" spans="1:7" ht="15" x14ac:dyDescent="0.25">
      <c r="A336" s="19"/>
      <c r="B336" s="19"/>
      <c r="C336" s="4"/>
      <c r="D336" s="3"/>
      <c r="E336" s="3">
        <v>4</v>
      </c>
      <c r="F336" s="3" t="s">
        <v>416</v>
      </c>
      <c r="G336" s="3" t="s">
        <v>417</v>
      </c>
    </row>
    <row r="337" spans="1:7" ht="15" x14ac:dyDescent="0.25">
      <c r="A337" s="19"/>
      <c r="B337" s="19"/>
      <c r="C337" s="4"/>
      <c r="D337" s="3"/>
      <c r="E337" s="3">
        <v>5</v>
      </c>
      <c r="F337" s="3" t="s">
        <v>418</v>
      </c>
      <c r="G337" s="3" t="s">
        <v>419</v>
      </c>
    </row>
    <row r="338" spans="1:7" ht="15" x14ac:dyDescent="0.25">
      <c r="A338" s="19"/>
      <c r="B338" s="19"/>
      <c r="C338" s="4"/>
      <c r="D338" s="3"/>
      <c r="E338" s="3">
        <v>6</v>
      </c>
      <c r="F338" s="3" t="s">
        <v>420</v>
      </c>
      <c r="G338" s="3" t="s">
        <v>421</v>
      </c>
    </row>
    <row r="339" spans="1:7" ht="15" x14ac:dyDescent="0.25">
      <c r="A339" s="19"/>
      <c r="B339" s="19"/>
      <c r="C339" s="4"/>
      <c r="D339" s="20"/>
      <c r="E339" s="3">
        <v>7</v>
      </c>
      <c r="F339" s="3" t="s">
        <v>422</v>
      </c>
      <c r="G339" s="3" t="s">
        <v>423</v>
      </c>
    </row>
    <row r="340" spans="1:7" ht="15" x14ac:dyDescent="0.25">
      <c r="A340" s="19"/>
      <c r="B340" s="19"/>
      <c r="C340" s="15"/>
      <c r="D340" s="20"/>
      <c r="E340" s="3">
        <v>8</v>
      </c>
      <c r="F340" s="3" t="s">
        <v>424</v>
      </c>
      <c r="G340" s="3" t="s">
        <v>409</v>
      </c>
    </row>
    <row r="341" spans="1:7" ht="15" x14ac:dyDescent="0.25">
      <c r="A341" s="19"/>
      <c r="B341" s="19"/>
      <c r="C341" s="15"/>
      <c r="D341" s="20"/>
      <c r="E341" s="3">
        <v>9</v>
      </c>
      <c r="F341" s="3" t="s">
        <v>425</v>
      </c>
      <c r="G341" s="3" t="s">
        <v>409</v>
      </c>
    </row>
    <row r="342" spans="1:7" ht="15" x14ac:dyDescent="0.25">
      <c r="A342" s="19"/>
      <c r="B342" s="19"/>
      <c r="C342" s="15"/>
      <c r="D342" s="20"/>
      <c r="E342" s="3">
        <v>10</v>
      </c>
      <c r="F342" s="3" t="s">
        <v>426</v>
      </c>
      <c r="G342" s="3" t="s">
        <v>409</v>
      </c>
    </row>
    <row r="343" spans="1:7" ht="15" x14ac:dyDescent="0.25">
      <c r="A343" s="19"/>
      <c r="B343" s="19"/>
      <c r="C343" s="15"/>
      <c r="D343" s="20"/>
      <c r="E343" s="3">
        <v>11</v>
      </c>
      <c r="F343" s="3"/>
      <c r="G343" s="3" t="s">
        <v>409</v>
      </c>
    </row>
    <row r="344" spans="1:7" ht="15" x14ac:dyDescent="0.25">
      <c r="A344" s="19"/>
      <c r="B344" s="19"/>
      <c r="C344" s="15"/>
      <c r="D344" s="20"/>
      <c r="E344" s="3">
        <v>12</v>
      </c>
      <c r="F344" s="20"/>
      <c r="G344" s="20"/>
    </row>
    <row r="345" spans="1:7" ht="15" x14ac:dyDescent="0.25">
      <c r="A345" s="19"/>
      <c r="B345" s="19"/>
      <c r="C345" s="15"/>
      <c r="D345" s="20"/>
      <c r="E345" s="3">
        <v>13</v>
      </c>
      <c r="F345" s="20"/>
      <c r="G345" s="20"/>
    </row>
    <row r="346" spans="1:7" ht="15" x14ac:dyDescent="0.25">
      <c r="A346" s="19"/>
      <c r="B346" s="19"/>
      <c r="C346" s="15"/>
      <c r="D346" s="20"/>
      <c r="E346" s="3">
        <v>14</v>
      </c>
      <c r="F346" s="20"/>
      <c r="G346" s="20"/>
    </row>
    <row r="347" spans="1:7" ht="15" x14ac:dyDescent="0.25">
      <c r="A347" s="19"/>
      <c r="B347" s="19"/>
      <c r="C347" s="15"/>
      <c r="D347" s="20"/>
      <c r="E347" s="3">
        <v>15</v>
      </c>
      <c r="F347" s="20"/>
      <c r="G347" s="20"/>
    </row>
  </sheetData>
  <sheetProtection selectLockedCells="1" selectUnlockedCells="1"/>
  <pageMargins left="0.78749999999999998" right="0.78749999999999998" top="1.05277777777778" bottom="1.05277777777778" header="0.78749999999999998" footer="0.78749999999999998"/>
  <pageSetup scale="47" fitToHeight="6" orientation="portrait" useFirstPageNumber="1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Software</vt:lpstr>
      <vt:lpstr>VHDL_HRT</vt:lpstr>
      <vt:lpstr>Register_Detail</vt:lpstr>
    </vt:vector>
  </TitlesOfParts>
  <Company>Jefferson Science Associates,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Michael Geesaman</cp:lastModifiedBy>
  <cp:lastPrinted>2011-08-16T20:02:41Z</cp:lastPrinted>
  <dcterms:created xsi:type="dcterms:W3CDTF">2009-01-27T18:28:54Z</dcterms:created>
  <dcterms:modified xsi:type="dcterms:W3CDTF">2026-10-12T16:13:01Z</dcterms:modified>
</cp:coreProperties>
</file>